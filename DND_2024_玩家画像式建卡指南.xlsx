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00"/>
  </bookViews>
  <sheets>
    <sheet name="00_封面" sheetId="1" r:id="rId1"/>
    <sheet name="01_玩家问卷" sheetId="2" r:id="rId2"/>
    <sheet name="02_自动推荐" sheetId="3" r:id="rId3"/>
    <sheet name="03_组合库" sheetId="4" r:id="rId4"/>
    <sheet name="04_Classes_2024" sheetId="5" r:id="rId5"/>
    <sheet name="05_Subclasses_2024" sheetId="6" r:id="rId6"/>
    <sheet name="06_Backgrounds_2024" sheetId="7" r:id="rId7"/>
    <sheet name="07_Species_2024" sheetId="8" r:id="rId8"/>
    <sheet name="08_OriginFeats_2024" sheetId="9" r:id="rId9"/>
    <sheet name="09_规则来源兼容" sheetId="10" r:id="rId10"/>
    <sheet name="10_Faerun_扩展" sheetId="11" r:id="rId11"/>
    <sheet name="11_问卷与DM访谈" sheetId="12" r:id="rId12"/>
    <sheet name="12_Sources" sheetId="13" r:id="rId13"/>
    <sheet name="Lists" sheetId="14" r:id="rId14"/>
    <sheet name="Sheet1" sheetId="15" r:id="rId15"/>
    <sheet name="Sheet2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<sst xmlns="http://schemas.openxmlformats.org/spreadsheetml/2006/main" count="2000" uniqueCount="1159">
  <si>
    <r>
      <rPr>
        <b/>
        <sz val="18"/>
        <color rgb="FFFFFFFF"/>
        <rFont val="Carlito"/>
        <charset val="134"/>
      </rPr>
      <t xml:space="preserve">D&amp;D 2024 </t>
    </r>
    <r>
      <rPr>
        <b/>
        <sz val="18"/>
        <color rgb="FFFFFFFF"/>
        <rFont val="宋体"/>
        <charset val="134"/>
      </rPr>
      <t>玩家画像式建卡指南</t>
    </r>
  </si>
  <si>
    <r>
      <rPr>
        <sz val="11"/>
        <color rgb="FF1F2937"/>
        <rFont val="宋体"/>
        <charset val="134"/>
      </rPr>
      <t>这份表不是</t>
    </r>
    <r>
      <rPr>
        <sz val="11"/>
        <color rgb="FF1F2937"/>
        <rFont val="Carlito"/>
        <charset val="134"/>
      </rPr>
      <t>“</t>
    </r>
    <r>
      <rPr>
        <sz val="11"/>
        <color rgb="FF1F2937"/>
        <rFont val="宋体"/>
        <charset val="134"/>
      </rPr>
      <t>强度榜</t>
    </r>
    <r>
      <rPr>
        <sz val="11"/>
        <color rgb="FF1F2937"/>
        <rFont val="Carlito"/>
        <charset val="134"/>
      </rPr>
      <t>”</t>
    </r>
    <r>
      <rPr>
        <sz val="11"/>
        <color rgb="FF1F2937"/>
        <rFont val="宋体"/>
        <charset val="134"/>
      </rPr>
      <t>，而是一个给玩家和</t>
    </r>
    <r>
      <rPr>
        <sz val="11"/>
        <color rgb="FF1F2937"/>
        <rFont val="Carlito"/>
        <charset val="134"/>
      </rPr>
      <t>DM</t>
    </r>
    <r>
      <rPr>
        <sz val="11"/>
        <color rgb="FF1F2937"/>
        <rFont val="宋体"/>
        <charset val="134"/>
      </rPr>
      <t>桌边使用的建卡决策工具：先看剧本难度、玩家经验、性格和游戏目标，再反推</t>
    </r>
    <r>
      <rPr>
        <sz val="11"/>
        <color rgb="FF1F2937"/>
        <rFont val="Carlito"/>
        <charset val="134"/>
      </rPr>
      <t xml:space="preserve"> Species + Class + Subclass + Background + Origin Feat</t>
    </r>
    <r>
      <rPr>
        <sz val="11"/>
        <color rgb="FF1F2937"/>
        <rFont val="宋体"/>
        <charset val="134"/>
      </rPr>
      <t>。专有名词保留英文原名，中文只写判断逻辑和人话备注。</t>
    </r>
  </si>
  <si>
    <t>工作簿结构</t>
  </si>
  <si>
    <t>Sheet</t>
  </si>
  <si>
    <t>用途</t>
  </si>
  <si>
    <t>怎么用</t>
  </si>
  <si>
    <t>01_玩家问卷</t>
  </si>
  <si>
    <t>玩家/DM输入画像</t>
  </si>
  <si>
    <t>优先填写B列下拉框；初次使用保持默认也能出推荐。</t>
  </si>
  <si>
    <t>02_自动推荐</t>
  </si>
  <si>
    <t>根据问卷自动筛选组合</t>
  </si>
  <si>
    <t>看Top 10方案、得分、风险和兼容性提示。</t>
  </si>
  <si>
    <t>03_组合库</t>
  </si>
  <si>
    <t>人工整理的推荐样本库</t>
  </si>
  <si>
    <t>可增删行；匹配得分公式会根据问卷刷新。</t>
  </si>
  <si>
    <t>04-08 数据库</t>
  </si>
  <si>
    <t>2024核心选项</t>
  </si>
  <si>
    <t>职业、子职、背景、物种、起源专长的标签库。</t>
  </si>
  <si>
    <t>09_规则来源兼容</t>
  </si>
  <si>
    <t>旧书 vs 2024兼容标准</t>
  </si>
  <si>
    <t>DM审核旧书扩展时先看这里。</t>
  </si>
  <si>
    <t>10_Faerun_扩展</t>
  </si>
  <si>
    <t>费伦书示例</t>
  </si>
  <si>
    <t>明确区分SCAG 2015和Heroes of Faerûn 2025。</t>
  </si>
  <si>
    <t>12_Sources</t>
  </si>
  <si>
    <t>来源与校验</t>
  </si>
  <si>
    <t>所有外部来源以纯文本URL保留在表里。</t>
  </si>
  <si>
    <t>规则边界提醒</t>
  </si>
  <si>
    <t>2024 PHB优先。旧书扩展不是不能用，但必须单独标记Legacy并得到DM同意。尤其是费伦相关：Sword Coast Adventurer's Guide（2015）属于旧书扩展；Forgotten Realms: Heroes of Faerûn（2025）属于2024体系下的新扩展。两者不能混为一谈。</t>
  </si>
  <si>
    <r>
      <rPr>
        <i/>
        <sz val="11"/>
        <color rgb="FF555555"/>
        <rFont val="宋体"/>
        <charset val="134"/>
      </rPr>
      <t>版本：</t>
    </r>
    <r>
      <rPr>
        <i/>
        <sz val="11"/>
        <color rgb="FF555555"/>
        <rFont val="Carlito"/>
        <charset val="134"/>
      </rPr>
      <t xml:space="preserve">2026-05-12 / </t>
    </r>
    <r>
      <rPr>
        <i/>
        <sz val="11"/>
        <color rgb="FF555555"/>
        <rFont val="宋体"/>
        <charset val="134"/>
      </rPr>
      <t>制作者备注：为玩家画像建卡助手而做，。</t>
    </r>
  </si>
  <si>
    <t>玩家画像输入区（改B列，推荐会自动刷新）</t>
  </si>
  <si>
    <t>字段</t>
  </si>
  <si>
    <t>你的选择</t>
  </si>
  <si>
    <t>说明/桌边问题</t>
  </si>
  <si>
    <t>剧本难度</t>
  </si>
  <si>
    <t>D3</t>
  </si>
  <si>
    <t>D0轻松RP，D1标准，D2挑战，D3高危，D4优化老手局。</t>
  </si>
  <si>
    <t>玩家经验</t>
  </si>
  <si>
    <t>N2</t>
  </si>
  <si>
    <t>N0纯新手，N1入门，N2熟练，N3优化老手。</t>
  </si>
  <si>
    <t>操作复杂度偏好</t>
  </si>
  <si>
    <t>Low</t>
  </si>
  <si>
    <t>Low适合少资源管理；High适合愿意读法术/机制的人。</t>
  </si>
  <si>
    <t>主要性格</t>
  </si>
  <si>
    <t>混沌型</t>
  </si>
  <si>
    <t>冲锋、保护、策略、社交、探索、叙事、优化、混沌、支援。</t>
  </si>
  <si>
    <t>游戏目标</t>
  </si>
  <si>
    <t>全能</t>
  </si>
  <si>
    <t>最想在桌上获得的主要成就感。</t>
  </si>
  <si>
    <t>队伍最缺</t>
  </si>
  <si>
    <t>Exploration/Scout</t>
  </si>
  <si>
    <t>让工具不要只迎合个人，也考虑队伍。</t>
  </si>
  <si>
    <t>规则来源</t>
  </si>
  <si>
    <t>2024 Core Only</t>
  </si>
  <si>
    <t>Core Only最干净；2024 Expansions可开费伦新书；Legacy需DM审核。</t>
  </si>
  <si>
    <t>允许Forgotten Realms: Heroes of Faerûn</t>
  </si>
  <si>
    <t>Yes</t>
  </si>
  <si>
    <t>Yes会允许2024费伦新扩展进入推荐。No则降权。</t>
  </si>
  <si>
    <t>不喜欢的机制</t>
  </si>
  <si>
    <t>None</t>
  </si>
  <si>
    <t>比如不想管法术、不想近战、不想玩脆皮、不想复杂资源。</t>
  </si>
  <si>
    <t>想要风格</t>
  </si>
  <si>
    <t>龙血</t>
  </si>
  <si>
    <t>非硬性筛选，给DM和玩家用于叙事调味。</t>
  </si>
  <si>
    <t>已有队友</t>
  </si>
  <si>
    <t/>
  </si>
  <si>
    <t>手填，例如：Barbarian, Cleric, Wizard。</t>
  </si>
  <si>
    <t>角色一句话</t>
  </si>
  <si>
    <t>手填，例如：从北地流浪到城市的半身人侦查手。</t>
  </si>
  <si>
    <t>难度/经验速查</t>
  </si>
  <si>
    <t>难度</t>
  </si>
  <si>
    <t>含义</t>
  </si>
  <si>
    <t>建卡重点</t>
  </si>
  <si>
    <t>经验</t>
  </si>
  <si>
    <t>适合复杂度</t>
  </si>
  <si>
    <t>建议</t>
  </si>
  <si>
    <t>D0</t>
  </si>
  <si>
    <t>休闲剧情 / RP优先</t>
  </si>
  <si>
    <t>幻想贴合、叙事一致性</t>
  </si>
  <si>
    <t>N0</t>
  </si>
  <si>
    <t>Fighter Champion, Barbarian Berserker, Rogue Thief</t>
  </si>
  <si>
    <t>D1</t>
  </si>
  <si>
    <t>标准冒险</t>
  </si>
  <si>
    <t>稳定循环、避免明显短板</t>
  </si>
  <si>
    <t>N1</t>
  </si>
  <si>
    <t>Low-Medium</t>
  </si>
  <si>
    <t>Paladin, Ranger Hunter, Warlock, Monk</t>
  </si>
  <si>
    <t>D2</t>
  </si>
  <si>
    <t>挑战冒险</t>
  </si>
  <si>
    <t>输出/控制/治疗/侦查至少补一项</t>
  </si>
  <si>
    <t>Medium</t>
  </si>
  <si>
    <t>Cleric, Bard, Druid, Sorcerer</t>
  </si>
  <si>
    <t>高危硬核</t>
  </si>
  <si>
    <t>生存、先手、控制、救场</t>
  </si>
  <si>
    <t>N3</t>
  </si>
  <si>
    <t>Medium-High</t>
  </si>
  <si>
    <t>Wizard, full casters, tactical Fighter/Bard/Cleric</t>
  </si>
  <si>
    <t>D4</t>
  </si>
  <si>
    <t>优化/老手局</t>
  </si>
  <si>
    <t>行动经济、资源循环、队伍协同</t>
  </si>
  <si>
    <t>自动推荐器：根据 01_玩家问卷 的B列即时计算</t>
  </si>
  <si>
    <t>当前输入</t>
  </si>
  <si>
    <t>性格</t>
  </si>
  <si>
    <t>目标</t>
  </si>
  <si>
    <t>队伍缺口</t>
  </si>
  <si>
    <t>复杂度</t>
  </si>
  <si>
    <t>费伦新书</t>
  </si>
  <si>
    <t>不喜欢</t>
  </si>
  <si>
    <t>风格</t>
  </si>
  <si>
    <t>Rank</t>
  </si>
  <si>
    <t>Score</t>
  </si>
  <si>
    <t>推荐名称</t>
  </si>
  <si>
    <t>Source Mode</t>
  </si>
  <si>
    <t>Species</t>
  </si>
  <si>
    <t>Class</t>
  </si>
  <si>
    <t>Subclass</t>
  </si>
  <si>
    <t>Background</t>
  </si>
  <si>
    <t>Origin Feat</t>
  </si>
  <si>
    <t>核心玩法循环</t>
  </si>
  <si>
    <t>风险/备注</t>
  </si>
  <si>
    <t>如何读这个结果</t>
  </si>
  <si>
    <r>
      <rPr>
        <sz val="11"/>
        <color rgb="FF1F2937"/>
        <rFont val="宋体"/>
        <charset val="134"/>
      </rPr>
      <t>分数不是真理，而是桌边筛选器：它根据难度、经验、性格、目标、队伍缺口、复杂度和规则来源进行加减分。低分不代表不能玩，高分也不代表必须玩；</t>
    </r>
    <r>
      <rPr>
        <sz val="11"/>
        <color rgb="FF1F2937"/>
        <rFont val="Carlito"/>
        <charset val="134"/>
      </rPr>
      <t>DM</t>
    </r>
    <r>
      <rPr>
        <sz val="11"/>
        <color rgb="FF1F2937"/>
        <rFont val="宋体"/>
        <charset val="134"/>
      </rPr>
      <t>最后要看队伍构成、战役主题和玩家热情。</t>
    </r>
  </si>
  <si>
    <t>ID</t>
  </si>
  <si>
    <t>规则层级</t>
  </si>
  <si>
    <t>难度标签</t>
  </si>
  <si>
    <t>经验标签</t>
  </si>
  <si>
    <t>性格标签</t>
  </si>
  <si>
    <t>目标标签</t>
  </si>
  <si>
    <t>队伍槽位</t>
  </si>
  <si>
    <t>操作复杂度</t>
  </si>
  <si>
    <t>推荐属性</t>
  </si>
  <si>
    <t>优点</t>
  </si>
  <si>
    <t>风险/踩坑</t>
  </si>
  <si>
    <t>DM备注/兼容性</t>
  </si>
  <si>
    <t>AvoidTags</t>
  </si>
  <si>
    <t>匹配得分</t>
  </si>
  <si>
    <t>手写感备注</t>
  </si>
  <si>
    <t>Core</t>
  </si>
  <si>
    <t>第一张卡：稳健剑盾老兵</t>
  </si>
  <si>
    <t>D1,D2</t>
  </si>
  <si>
    <t>N0,N1</t>
  </si>
  <si>
    <t>冲锋型,保护型,叙事型</t>
  </si>
  <si>
    <t>生存,输出,简单上手</t>
  </si>
  <si>
    <t>Frontline,Single-target Damage</t>
  </si>
  <si>
    <t>2024 PHB</t>
  </si>
  <si>
    <t>Human</t>
  </si>
  <si>
    <t>Fighter</t>
  </si>
  <si>
    <t>Champion</t>
  </si>
  <si>
    <t>Soldier</t>
  </si>
  <si>
    <t>Savage Attacker</t>
  </si>
  <si>
    <t>STR &gt; CON; or DEX &gt; CON</t>
  </si>
  <si>
    <t>站前排，Weapon Mastery+Extra Attack稳定输出；Human额外Origin Feat可拿Tough或Alert。</t>
  </si>
  <si>
    <t>最容易上手，死亡率低，不卡队友节奏。</t>
  </si>
  <si>
    <t>老手可能觉得选择少。</t>
  </si>
  <si>
    <t>纯2024核心规则。</t>
  </si>
  <si>
    <t>No Spell Management</t>
  </si>
  <si>
    <t>战术指挥官：Battle Master前排</t>
  </si>
  <si>
    <t>D2,D3,D4</t>
  </si>
  <si>
    <t>N1,N2,N3</t>
  </si>
  <si>
    <t>保护型,策略型,优化型</t>
  </si>
  <si>
    <t>生存,控场,输出</t>
  </si>
  <si>
    <t>Frontline,Control,Single-target Damage</t>
  </si>
  <si>
    <t>Battle Master</t>
  </si>
  <si>
    <t>Guard</t>
  </si>
  <si>
    <t>Alert</t>
  </si>
  <si>
    <t>STR/DEX &gt; CON; WIS useful</t>
  </si>
  <si>
    <t>先手进场，用maneuvers打控制、保护和补伤害。Human可补Tough/Skilled。</t>
  </si>
  <si>
    <t>强度和可玩性都很稳，老手也不腻。</t>
  </si>
  <si>
    <t>需要记maneuvers，纯新手要有人带。</t>
  </si>
  <si>
    <t>简单暴力：Goliath Berserker</t>
  </si>
  <si>
    <t>D1,D2,D3</t>
  </si>
  <si>
    <t>冲锋型,优化型</t>
  </si>
  <si>
    <t>输出,生存,简单上手</t>
  </si>
  <si>
    <t>Goliath</t>
  </si>
  <si>
    <t>Barbarian</t>
  </si>
  <si>
    <t>Path of the Berserker</t>
  </si>
  <si>
    <t>Farmer</t>
  </si>
  <si>
    <t>Tough</t>
  </si>
  <si>
    <t>STR &gt; CON &gt; DEX</t>
  </si>
  <si>
    <t>Rage后冲锋，Reckless Attack换输出，用高HP和Tough顶住。</t>
  </si>
  <si>
    <t>手感直接，适合想爽砍的人。</t>
  </si>
  <si>
    <t>社交/远程/控场弱。</t>
  </si>
  <si>
    <t>守护圣光：Aasimar Devotion Paladin</t>
  </si>
  <si>
    <t>N1,N2</t>
  </si>
  <si>
    <t>保护型,叙事型,社交型</t>
  </si>
  <si>
    <t>生存,治疗/辅助,输出</t>
  </si>
  <si>
    <t>Frontline,Healing,Social Face</t>
  </si>
  <si>
    <t>Aasimar</t>
  </si>
  <si>
    <t>Paladin</t>
  </si>
  <si>
    <t>Oath of Devotion</t>
  </si>
  <si>
    <t>Acolyte</t>
  </si>
  <si>
    <t>Magic Initiate (Cleric)</t>
  </si>
  <si>
    <t>STR &gt; CHA &gt; CON</t>
  </si>
  <si>
    <t>前排站位，Lay on Hands救场，Aura保护队伍，关键回合爆发。</t>
  </si>
  <si>
    <t>幻想非常完整：圣血+誓言+神殿出身。</t>
  </si>
  <si>
    <t>属性需求紧；不适合完全不想管法术的人。</t>
  </si>
  <si>
    <t>复仇执行者：Dragonborn Vengeance Paladin</t>
  </si>
  <si>
    <t>冲锋型,优化型,叙事型</t>
  </si>
  <si>
    <t>输出,生存</t>
  </si>
  <si>
    <t>Frontline,Single-target Damage,Social Face</t>
  </si>
  <si>
    <t>Dragonborn</t>
  </si>
  <si>
    <t>Oath of Vengeance</t>
  </si>
  <si>
    <t>先手锁定关键敌人，贴身追击，爆发回合打穿单体。</t>
  </si>
  <si>
    <t>高压局很好理解：把最危险的敌人先处理。</t>
  </si>
  <si>
    <t>可能过于隧道视野，忽略队友保护。</t>
  </si>
  <si>
    <t>地下城猎手：Elf Gloom Stalker</t>
  </si>
  <si>
    <t>探索型,优化型,策略型</t>
  </si>
  <si>
    <t>输出,探索,生存</t>
  </si>
  <si>
    <t>Exploration/Scout,Single-target Damage</t>
  </si>
  <si>
    <t>Elf</t>
  </si>
  <si>
    <t>Ranger</t>
  </si>
  <si>
    <t>Gloom Stalker</t>
  </si>
  <si>
    <t>Guide</t>
  </si>
  <si>
    <t>Magic Initiate (Druid)</t>
  </si>
  <si>
    <t>DEX &gt; WIS &gt; CON</t>
  </si>
  <si>
    <t>侦查先行，开局抢节奏，Hunter's Mark与远程输出持续施压。</t>
  </si>
  <si>
    <t>地城、夜战、潜行局体验很好。</t>
  </si>
  <si>
    <t>队伍若没人前排，别冲太远。</t>
  </si>
  <si>
    <t>Avoid Melee</t>
  </si>
  <si>
    <t>经典盗贼：Halfling Thief</t>
  </si>
  <si>
    <t>D0,D1,D2</t>
  </si>
  <si>
    <t>N0,N1,N2</t>
  </si>
  <si>
    <t>探索型,社交型,叙事型</t>
  </si>
  <si>
    <t>探索,社交,简单上手</t>
  </si>
  <si>
    <t>Exploration/Scout,Utility</t>
  </si>
  <si>
    <t>Halfling</t>
  </si>
  <si>
    <t>Rogue</t>
  </si>
  <si>
    <t>Thief</t>
  </si>
  <si>
    <t>Wayfarer</t>
  </si>
  <si>
    <t>Lucky</t>
  </si>
  <si>
    <t>DEX &gt; WIS/CHA &gt; CON</t>
  </si>
  <si>
    <t>潜行、开锁、找机会Sneak Attack；Lucky让关键检定更稳。</t>
  </si>
  <si>
    <t>非常适合新手体验D&amp;D非战斗部分。</t>
  </si>
  <si>
    <t>正面硬拼弱。</t>
  </si>
  <si>
    <t>高危潜入：Human Assassin</t>
  </si>
  <si>
    <t>探索型,优化型,混沌型</t>
  </si>
  <si>
    <t>输出,探索</t>
  </si>
  <si>
    <t>Assassin</t>
  </si>
  <si>
    <t>Criminal</t>
  </si>
  <si>
    <t>DEX &gt; CON/INT</t>
  </si>
  <si>
    <t>争取先手和优势，潜入、伪装、爆发偷袭。Human可额外拿Skilled或Lucky。</t>
  </si>
  <si>
    <t>只要剧本给潜入空间就很有高光。</t>
  </si>
  <si>
    <t>纯正面团战会打折。</t>
  </si>
  <si>
    <t>社交核心：Tiefling Fiend Warlock</t>
  </si>
  <si>
    <t>社交型,混沌型,叙事型</t>
  </si>
  <si>
    <t>社交,输出,全能</t>
  </si>
  <si>
    <t>Social Face,Single-target Damage,Utility</t>
  </si>
  <si>
    <t>Tiefling</t>
  </si>
  <si>
    <t>Warlock</t>
  </si>
  <si>
    <t>Fiend Patron</t>
  </si>
  <si>
    <t>Charlatan</t>
  </si>
  <si>
    <t>Skilled</t>
  </si>
  <si>
    <t>CHA &gt; CON &gt; DEX</t>
  </si>
  <si>
    <t>Eldritch Blast稳定输出，契约与技能处理社交/探索。</t>
  </si>
  <si>
    <t>法术数量相对可控，故事钩子强。</t>
  </si>
  <si>
    <t>短休节奏不稳定时资源体验会变。</t>
  </si>
  <si>
    <t>队伍润滑剂：Human Lore Bard</t>
  </si>
  <si>
    <t>D0,D1,D2,D3</t>
  </si>
  <si>
    <t>社交型,策略型,叙事型</t>
  </si>
  <si>
    <t>社交,控场,治疗/辅助</t>
  </si>
  <si>
    <t>Social Face,Control,Healing,Utility</t>
  </si>
  <si>
    <t>Bard</t>
  </si>
  <si>
    <t>College of Lore</t>
  </si>
  <si>
    <t>Entertainer</t>
  </si>
  <si>
    <t>Musician</t>
  </si>
  <si>
    <t>CHA &gt; DEX/CON</t>
  </si>
  <si>
    <t>用Bardic Inspiration、控制法术和技能覆盖队伍短板。Human可额外拿Lucky/Alert。</t>
  </si>
  <si>
    <t>社交、技能、支援都强。</t>
  </si>
  <si>
    <t>需要玩家会读局势，不是每回合都打伤害。</t>
  </si>
  <si>
    <t>Avoid Complex Resources</t>
  </si>
  <si>
    <t>控场大脑：Elf Diviner Wizard</t>
  </si>
  <si>
    <t>N2,N3</t>
  </si>
  <si>
    <t>策略型,优化型</t>
  </si>
  <si>
    <t>控场,全能</t>
  </si>
  <si>
    <t>Control,AoE Damage,Utility</t>
  </si>
  <si>
    <t>High</t>
  </si>
  <si>
    <t>Wizard</t>
  </si>
  <si>
    <t>Diviner</t>
  </si>
  <si>
    <t>Sage</t>
  </si>
  <si>
    <t>Magic Initiate (Wizard)</t>
  </si>
  <si>
    <t>INT &gt; CON &gt; DEX</t>
  </si>
  <si>
    <t>准备控制/反制/仪式法术，用预知类能力改写关键检定。</t>
  </si>
  <si>
    <t>高压局上限极高。</t>
  </si>
  <si>
    <t>脆，需要站位和法术管理。</t>
  </si>
  <si>
    <t>Avoid Fragile Casters,No Spell Management</t>
  </si>
  <si>
    <t>防护法师：Gnome Abjurer</t>
  </si>
  <si>
    <t>策略型,保护型,优化型</t>
  </si>
  <si>
    <t>生存,控场,全能</t>
  </si>
  <si>
    <t>Control,Utility</t>
  </si>
  <si>
    <t>Gnome</t>
  </si>
  <si>
    <t>Abjurer</t>
  </si>
  <si>
    <t>Scribe</t>
  </si>
  <si>
    <t>用防护、反制、控制保护队伍，技能覆盖调查与感知。</t>
  </si>
  <si>
    <t>比一般法师更能在高压局活下来。</t>
  </si>
  <si>
    <t>输出不如Evoker直观。</t>
  </si>
  <si>
    <t>队伍急救站：Human Life Cleric</t>
  </si>
  <si>
    <t>D1,D2,D3,D4</t>
  </si>
  <si>
    <t>保护型,支援型,叙事型</t>
  </si>
  <si>
    <t>治疗/辅助,生存</t>
  </si>
  <si>
    <t>Healing,Frontline,Utility</t>
  </si>
  <si>
    <t>Cleric</t>
  </si>
  <si>
    <t>Life Domain</t>
  </si>
  <si>
    <t>Hermit</t>
  </si>
  <si>
    <t>Healer</t>
  </si>
  <si>
    <t>WIS &gt; CON &gt; STR/DEX</t>
  </si>
  <si>
    <t>Bless、治疗、解除异常，必要时穿甲站中线。Human可额外拿Alert/Tough。</t>
  </si>
  <si>
    <t>队伍容错率明显提升。</t>
  </si>
  <si>
    <t>过度治疗会浪费行动；要学会控场。</t>
  </si>
  <si>
    <t>神圣炮台：Aasimar Light Cleric</t>
  </si>
  <si>
    <t>策略型,叙事型</t>
  </si>
  <si>
    <t>输出,治疗/辅助</t>
  </si>
  <si>
    <t>AoE Damage,Healing,Control</t>
  </si>
  <si>
    <t>Light Domain</t>
  </si>
  <si>
    <t>WIS &gt; CON &gt; DEX</t>
  </si>
  <si>
    <t>用光辉/火焰清场，同时保留治疗和支援。</t>
  </si>
  <si>
    <t>输出与支援兼得。</t>
  </si>
  <si>
    <t>前排能力不如War Domain。</t>
  </si>
  <si>
    <t>自然万金油：Human Circle of Stars Druid</t>
  </si>
  <si>
    <t>探索型,策略型,支援型</t>
  </si>
  <si>
    <t>探索,控场,治疗/辅助</t>
  </si>
  <si>
    <t>Control,Healing,Exploration/Scout</t>
  </si>
  <si>
    <t>Druid</t>
  </si>
  <si>
    <t>Circle of the Stars</t>
  </si>
  <si>
    <t>探索时用生存和自然法术；战斗中星象形态+控场/治疗切换。</t>
  </si>
  <si>
    <t>非常全能，能补很多队伍缺口。</t>
  </si>
  <si>
    <t>要管理准备法术。</t>
  </si>
  <si>
    <t>No Spell Management,Avoid Complex Resources</t>
  </si>
  <si>
    <t>变形前排：Elf Moon Druid</t>
  </si>
  <si>
    <t>保护型,探索型,叙事型</t>
  </si>
  <si>
    <t>生存,探索,控场</t>
  </si>
  <si>
    <t>Frontline,Control,Exploration/Scout</t>
  </si>
  <si>
    <t>Circle of the Moon</t>
  </si>
  <si>
    <t>用Wild Shape承伤和探索，回到本体后施法支援。</t>
  </si>
  <si>
    <t>很有自然守护者味道。</t>
  </si>
  <si>
    <t>需要知道变形能做什么/不能做什么。</t>
  </si>
  <si>
    <t>暗影拳师：Orc Shadow Monk</t>
  </si>
  <si>
    <t>探索型,冲锋型,叙事型</t>
  </si>
  <si>
    <t>探索,输出,生存</t>
  </si>
  <si>
    <t>Orc</t>
  </si>
  <si>
    <t>Monk</t>
  </si>
  <si>
    <t>Warrior of Shadow</t>
  </si>
  <si>
    <t>高机动潜入，抢先手，暗影手段接近/撤离。</t>
  </si>
  <si>
    <t>潜入和战斗都灵活。</t>
  </si>
  <si>
    <t>别把自己当重甲前排。</t>
  </si>
  <si>
    <t>Avoid Fragile Casters</t>
  </si>
  <si>
    <t>慈悲行者：Human Mercy Monk</t>
  </si>
  <si>
    <t>保护型,支援型,冲锋型</t>
  </si>
  <si>
    <t>治疗/辅助,输出,探索</t>
  </si>
  <si>
    <t>Healing,Single-target Damage,Exploration/Scout</t>
  </si>
  <si>
    <t>Warrior of Mercy</t>
  </si>
  <si>
    <t>机动近战，必要时用治疗/解除异常救队友。Human可额外拿Tough。</t>
  </si>
  <si>
    <t>能打能救，很适合小队缺半个治疗。</t>
  </si>
  <si>
    <t>资源管理比普通武僧复杂。</t>
  </si>
  <si>
    <t>龙血术士：Dragonborn Draconic Sorcery</t>
  </si>
  <si>
    <t>冲锋型,混沌型,叙事型</t>
  </si>
  <si>
    <t>输出,社交</t>
  </si>
  <si>
    <t>AoE Damage,Social Face</t>
  </si>
  <si>
    <t>Sorcerer</t>
  </si>
  <si>
    <t>Draconic Sorcery</t>
  </si>
  <si>
    <t>Noble</t>
  </si>
  <si>
    <t>用少量核心法术和Metamagic制造爆发，社交场合也有地位。</t>
  </si>
  <si>
    <t>幻想统一，伤害直观。</t>
  </si>
  <si>
    <t>法术选错会影响体验。</t>
  </si>
  <si>
    <t>混沌演员：Tiefling Wild Magic Sorcerer</t>
  </si>
  <si>
    <t>混沌型,社交型,叙事型</t>
  </si>
  <si>
    <t>输出,社交,全能</t>
  </si>
  <si>
    <t>Wild Magic Sorcery</t>
  </si>
  <si>
    <t>用法术和随机性制造戏剧效果，技能处理社交骗局。</t>
  </si>
  <si>
    <t>很有桌面记忆点。</t>
  </si>
  <si>
    <t>不适合严肃硬核优化局。</t>
  </si>
  <si>
    <t>妖精契约流浪者：Halfling Archfey Warlock</t>
  </si>
  <si>
    <t>社交型,探索型,叙事型</t>
  </si>
  <si>
    <t>社交,探索,控场</t>
  </si>
  <si>
    <t>Social Face,Control,Utility</t>
  </si>
  <si>
    <t>Archfey Patron</t>
  </si>
  <si>
    <t>用契约法术、魅惑/位移和技能在社交探索里制造优势。</t>
  </si>
  <si>
    <t>RP空间很大，输出也不至于掉线。</t>
  </si>
  <si>
    <t>不适合只想打高数字的玩家。</t>
  </si>
  <si>
    <t>战斗牧师：Dwarf War Cleric</t>
  </si>
  <si>
    <t>保护型,冲锋型,支援型</t>
  </si>
  <si>
    <t>Frontline,Healing,Single-target Damage</t>
  </si>
  <si>
    <t>Dwarf</t>
  </si>
  <si>
    <t>War Domain</t>
  </si>
  <si>
    <t>WIS &gt; STR/CON</t>
  </si>
  <si>
    <t>中前线穿甲，先手开Bless/控场，必要时武器输出。</t>
  </si>
  <si>
    <t>队伍缺第二前排时很稳。</t>
  </si>
  <si>
    <t>别把自己当全职Fighter。</t>
  </si>
  <si>
    <t>奥法骑士：Dragonborn Eldritch Knight</t>
  </si>
  <si>
    <t>冲锋型,策略型,叙事型</t>
  </si>
  <si>
    <t>生存,输出,全能</t>
  </si>
  <si>
    <t>Frontline,Utility,Single-target Damage</t>
  </si>
  <si>
    <t>Eldritch Knight</t>
  </si>
  <si>
    <t>Artisan</t>
  </si>
  <si>
    <t>Crafter</t>
  </si>
  <si>
    <t>STR/DEX &gt; CON &gt; INT</t>
  </si>
  <si>
    <t>武器输出为主，法术补防御/功能；工具和工匠背景增加真实感。</t>
  </si>
  <si>
    <t>魔战士幻想很完整。</t>
  </si>
  <si>
    <t>如果只想平A，Champion更省心。</t>
  </si>
  <si>
    <t>心灵特工：Elf Soulknife</t>
  </si>
  <si>
    <t>探索型,策略型,社交型</t>
  </si>
  <si>
    <t>探索,社交,输出</t>
  </si>
  <si>
    <t>Exploration/Scout,Utility,Single-target Damage</t>
  </si>
  <si>
    <t>Soulknife</t>
  </si>
  <si>
    <t>DEX &gt; INT/WIS &gt; CON</t>
  </si>
  <si>
    <t>用技能稳定性和灵能刀刃完成潜入、侦查和关键击杀。</t>
  </si>
  <si>
    <t>探索和非战斗很强。</t>
  </si>
  <si>
    <t>正面AOE弱。</t>
  </si>
  <si>
    <t>2024 Expansion</t>
  </si>
  <si>
    <t>费伦法剑：Elf Bladesinger</t>
  </si>
  <si>
    <t>策略型,叙事型,优化型</t>
  </si>
  <si>
    <t>输出,控场,全能</t>
  </si>
  <si>
    <t>Control,Single-target Damage,Utility</t>
  </si>
  <si>
    <t>2024 Expansion: Forgotten Realms: Heroes of Faerûn</t>
  </si>
  <si>
    <t>Bladesinger</t>
  </si>
  <si>
    <t>INT &gt; DEX &gt; CON</t>
  </si>
  <si>
    <t>近战姿态和法术控场结合；需要站位、法术选择和风险意识。</t>
  </si>
  <si>
    <t>非常有费伦味，老手会很爱。</t>
  </si>
  <si>
    <t>脆且复杂；新手慎用。</t>
  </si>
  <si>
    <t>2024费伦新扩展。不是直接使用SCAG旧版Bladesinger。</t>
  </si>
  <si>
    <t>Avoid Fragile Casters,No Spell Management,Avoid Complex Resources</t>
  </si>
  <si>
    <t>紫龙旗手：Human Banneret</t>
  </si>
  <si>
    <t>保护型,社交型,叙事型</t>
  </si>
  <si>
    <t>治疗/辅助,生存,输出</t>
  </si>
  <si>
    <t>Frontline,Social Face,Utility</t>
  </si>
  <si>
    <t>Banneret</t>
  </si>
  <si>
    <t>STR/CHA &gt; CON</t>
  </si>
  <si>
    <t>作为队伍旗手和战术领导者，武器输出同时提供士气/领导主题。</t>
  </si>
  <si>
    <t>比Champion更有组织和剧情身份。</t>
  </si>
  <si>
    <t>需要DM给阵营/骑士团戏份。</t>
  </si>
  <si>
    <t>2024费伦新扩展；不要和2015 SCAG Purple Dragon Knight直接混用。</t>
  </si>
  <si>
    <t>知识神官：Human Knowledge Domain Cleric</t>
  </si>
  <si>
    <t>策略型,支援型,叙事型</t>
  </si>
  <si>
    <t>控场,治疗/辅助,全能</t>
  </si>
  <si>
    <t>Healing,Control,Utility</t>
  </si>
  <si>
    <t>Knowledge Domain</t>
  </si>
  <si>
    <t>WIS &gt; INT/CON</t>
  </si>
  <si>
    <t>用知识、神术和仪式解决信息问题；战斗中仍有牧师基本盘。</t>
  </si>
  <si>
    <t>调查、宗教、秘法类团非常好用。</t>
  </si>
  <si>
    <t>直接伤害不一定突出。</t>
  </si>
  <si>
    <t>2024费伦新扩展；注意2014 PHB Knowledge Domain属于旧例外，但此处用新书版本。</t>
  </si>
  <si>
    <t>Spellfire血脉：Human Spellfire Sorcery</t>
  </si>
  <si>
    <t>混沌型,叙事型,优化型</t>
  </si>
  <si>
    <t>输出,治疗/辅助,社交</t>
  </si>
  <si>
    <t>AoE Damage,Healing,Social Face</t>
  </si>
  <si>
    <t>Spellfire Sorcery</t>
  </si>
  <si>
    <t>用Spellfire主题能力制造爆发/支援，并用术士法术做社交和战斗工具。</t>
  </si>
  <si>
    <t>费伦标志性味道很强。</t>
  </si>
  <si>
    <t>复杂度偏高，需确认DM允许费伦新书。</t>
  </si>
  <si>
    <t>2024费伦新扩展。</t>
  </si>
  <si>
    <t>贵族誓言：Human Oath of the Noble Genies</t>
  </si>
  <si>
    <t>社交型,保护型,叙事型</t>
  </si>
  <si>
    <t>生存,社交,输出</t>
  </si>
  <si>
    <t>Oath of the Noble Genies</t>
  </si>
  <si>
    <t>前排输出和社交身份并重，用誓言和贵族关系推动剧情。</t>
  </si>
  <si>
    <t>剧情钩子强，适合费伦政治/势力团。</t>
  </si>
  <si>
    <t>如果纯地城砍怪，背景优势会被浪费。</t>
  </si>
  <si>
    <t>冬境游侠：Elf Winter Walker</t>
  </si>
  <si>
    <t>探索型,策略型,叙事型</t>
  </si>
  <si>
    <t>探索,输出,控场</t>
  </si>
  <si>
    <t>Exploration/Scout,Control,Single-target Damage</t>
  </si>
  <si>
    <t>Winter Walker</t>
  </si>
  <si>
    <t>DEX/WIS &gt; CON</t>
  </si>
  <si>
    <t>以寒冷、追踪和地形适应为主题，保持游侠探索与输出基本盘。</t>
  </si>
  <si>
    <t>北地、冰雪、边境剧本味道很好。</t>
  </si>
  <si>
    <t>如果战役完全在城市，主题可能发挥不足。</t>
  </si>
  <si>
    <t>三者之裔：Tiefling Scion of the Three</t>
  </si>
  <si>
    <t>混沌型,探索型,叙事型</t>
  </si>
  <si>
    <t>输出,社交,探索</t>
  </si>
  <si>
    <t>Single-target Damage,Social Face,Exploration/Scout</t>
  </si>
  <si>
    <t>Scion of the Three</t>
  </si>
  <si>
    <t>DEX &gt; CHA/CON</t>
  </si>
  <si>
    <t>潜入、邪教/黑暗势力剧情、先手爆发结合。</t>
  </si>
  <si>
    <t>非常适合费伦反派组织/阴谋线。</t>
  </si>
  <si>
    <t>需要DM允许黑暗题材边界。</t>
  </si>
  <si>
    <t>Legacy</t>
  </si>
  <si>
    <t>旧书例外：Half-Orc战士</t>
  </si>
  <si>
    <t>冲锋型,叙事型</t>
  </si>
  <si>
    <t>Legacy 2014: requires DM approval</t>
  </si>
  <si>
    <t>Half-Orc</t>
  </si>
  <si>
    <t>STR &gt; CON</t>
  </si>
  <si>
    <t>按2024职业与背景跑；Half-Orc只作为旧物种例外，旧ASI不带入。</t>
  </si>
  <si>
    <t>满足想玩半兽人的玩家。</t>
  </si>
  <si>
    <t>不同桌对Legacy接受度不同。</t>
  </si>
  <si>
    <t>2014 PHB例外项；须按2024兼容规则处理。</t>
  </si>
  <si>
    <t>旧书例外：Tempest Domain Dwarf Cleric</t>
  </si>
  <si>
    <t>策略型,保护型,叙事型</t>
  </si>
  <si>
    <t>输出,治疗/辅助,控场</t>
  </si>
  <si>
    <t>Healing,AoE Damage,Frontline</t>
  </si>
  <si>
    <t>Legacy 2014 exception: requires DM approval</t>
  </si>
  <si>
    <t>Tempest Domain</t>
  </si>
  <si>
    <t>WIS &gt; CON/STR</t>
  </si>
  <si>
    <t>使用2024 Cleric框架，旧Tempest Domain需DM确认并调整。</t>
  </si>
  <si>
    <t>风暴主题很强。</t>
  </si>
  <si>
    <t>可能与2024职业结构有细节冲突。</t>
  </si>
  <si>
    <t>2014 PHB例外之一；不是2024 PHB核心子职。</t>
  </si>
  <si>
    <t>旧书例外：Necromancer Scholar</t>
  </si>
  <si>
    <t>策略型,混沌型,叙事型</t>
  </si>
  <si>
    <t>School of Necromancy</t>
  </si>
  <si>
    <t>使用2024 Wizard基础，旧School of Necromancy需DM裁定。</t>
  </si>
  <si>
    <t>很适合黑暗学者/禁忌研究。</t>
  </si>
  <si>
    <t>召唤/亡灵数量会拖慢游戏。</t>
  </si>
  <si>
    <t>2014 PHB例外之一。</t>
  </si>
  <si>
    <t>旧书扩展：Half-Elf Eloquence Bard</t>
  </si>
  <si>
    <t>社交型,叙事型,优化型</t>
  </si>
  <si>
    <t>Legacy 2014/Tasha: requires DM approval</t>
  </si>
  <si>
    <t>Half-Elf</t>
  </si>
  <si>
    <t>College of Eloquence</t>
  </si>
  <si>
    <t>用2024 Bard基础，旧Tasha子职只有DM允许时使用；有2024替代时优先新版本。</t>
  </si>
  <si>
    <t>社交强度极高。</t>
  </si>
  <si>
    <t>可能压过其他社交玩家。</t>
  </si>
  <si>
    <t>Legacy扩展，不属于2024 PHB或2024费伦新书。</t>
  </si>
  <si>
    <t>旧费伦书警示：SCAG Purple Dragon Knight</t>
  </si>
  <si>
    <t>D0,D1</t>
  </si>
  <si>
    <t>叙事型,社交型,保护型</t>
  </si>
  <si>
    <t>社交,生存</t>
  </si>
  <si>
    <t>Frontline,Social Face</t>
  </si>
  <si>
    <t>Legacy 2015: Sword Coast Adventurer's Guide; use 2024 Banneret if allowed</t>
  </si>
  <si>
    <t>Purple Dragon Knight / Banneret (legacy name)</t>
  </si>
  <si>
    <t>如果想玩费伦旗手，优先用2024 Heroes of Faerûn的Banneret；SCAG旧版只作历史来源。</t>
  </si>
  <si>
    <t>保留老费伦风味。</t>
  </si>
  <si>
    <t>旧版机械可能不适配2024。</t>
  </si>
  <si>
    <t>典型旧书 vs 2024新费伦书的区别示例。</t>
  </si>
  <si>
    <t>Primary Ability</t>
  </si>
  <si>
    <t>Combat Role</t>
  </si>
  <si>
    <t>Out-of-Combat Role</t>
  </si>
  <si>
    <t>Complexity</t>
  </si>
  <si>
    <t>New Player Fit</t>
  </si>
  <si>
    <t>Hard Mode Fit</t>
  </si>
  <si>
    <t>Core Loop</t>
  </si>
  <si>
    <t>2024 PHB Subclasses</t>
  </si>
  <si>
    <t>Notes</t>
  </si>
  <si>
    <t>STR / CON</t>
  </si>
  <si>
    <t>Frontline, burst melee</t>
  </si>
  <si>
    <t>Survival, intimidation</t>
  </si>
  <si>
    <t>Rage, Reckless Attack, big hits, soak damage</t>
  </si>
  <si>
    <t>Path of the Berserker; Path of the Wild Heart; Path of the World Tree; Path of the Zealot</t>
  </si>
  <si>
    <t>适合喜欢直接冲锋的人；控场和社交通常较弱。</t>
  </si>
  <si>
    <t>CHA / DEX</t>
  </si>
  <si>
    <t>Support, control, flexible caster</t>
  </si>
  <si>
    <t>Face, skills, knowledge</t>
  </si>
  <si>
    <t>Bardic Inspiration, spell control, skills, social leverage</t>
  </si>
  <si>
    <t>College of Dance; College of Glamour; College of Lore; College of Valor</t>
  </si>
  <si>
    <t>强在团队价值和社交，不是只会唱歌。</t>
  </si>
  <si>
    <t>WIS / CON</t>
  </si>
  <si>
    <t>Support, healing, control, radiant damage</t>
  </si>
  <si>
    <t>Religion, insight, guidance</t>
  </si>
  <si>
    <t>Bless/Healing/Channel Divinity, armor or cantrip path</t>
  </si>
  <si>
    <t>Life Domain; Light Domain; Trickery Domain; War Domain</t>
  </si>
  <si>
    <t>高压局很稳；但要会判断什么时候不用治疗而是控场。</t>
  </si>
  <si>
    <t>Control, terrain, healing, Wild Shape</t>
  </si>
  <si>
    <t>Nature, scouting, survival</t>
  </si>
  <si>
    <t>Prepare spells, shape/change role, use terrain</t>
  </si>
  <si>
    <t>Circle of the Land; Circle of the Moon; Circle of the Sea; Circle of the Stars</t>
  </si>
  <si>
    <t>功能极多，新手容易被选项淹没。</t>
  </si>
  <si>
    <t>STR or DEX / CON</t>
  </si>
  <si>
    <t>Frontline or ranged weapon specialist</t>
  </si>
  <si>
    <t>Athletics, tactics</t>
  </si>
  <si>
    <t>Very High</t>
  </si>
  <si>
    <t>Weapon Mastery, Action Surge, repeated attacks</t>
  </si>
  <si>
    <t>Battle Master; Champion; Eldritch Knight; Psi Warrior</t>
  </si>
  <si>
    <t>最适合当第一张战斗角色；Battle Master上限明显更高。</t>
  </si>
  <si>
    <t>DEX / WIS</t>
  </si>
  <si>
    <t>Mobile striker, skirmisher, control punches</t>
  </si>
  <si>
    <t>Stealth, mobility, discipline</t>
  </si>
  <si>
    <t>Mobility, Martial Arts, Focus, defensive reactions</t>
  </si>
  <si>
    <t>Warrior of Mercy; Warrior of Shadow; Warrior of the Elements; Warrior of the Open Hand</t>
  </si>
  <si>
    <t>适合喜欢机动和武侠感的人；站桩抗伤不是本职。</t>
  </si>
  <si>
    <t>STR / CHA / CON</t>
  </si>
  <si>
    <t>Frontline, burst, aura, emergency healing</t>
  </si>
  <si>
    <t>Face, oath-driven story</t>
  </si>
  <si>
    <t>Weapon hits, smites, Lay on Hands, Aura of Protection</t>
  </si>
  <si>
    <t>Oath of Devotion; Oath of Glory; Oath of the Ancients; Oath of Vengeance</t>
  </si>
  <si>
    <t>很适合新手想“又帅又有用”；属性需求稍紧。</t>
  </si>
  <si>
    <t>DEX or STR / WIS</t>
  </si>
  <si>
    <t>Ranged or melee striker, exploration</t>
  </si>
  <si>
    <t>Tracking, scouting, survival</t>
  </si>
  <si>
    <t>Hunter's Mark, Weapon Mastery, spells, exploration</t>
  </si>
  <si>
    <t>Beast Master; Fey Wanderer; Gloom Stalker; Hunter</t>
  </si>
  <si>
    <t>适合探索向玩家；不要只当成弓箭皮肤。</t>
  </si>
  <si>
    <t>DEX / INT or CHA</t>
  </si>
  <si>
    <t>Single-target damage, skill specialist</t>
  </si>
  <si>
    <t>Stealth, locks, investigation, face</t>
  </si>
  <si>
    <t>Cunning Action, Sneak Attack, skill expertise</t>
  </si>
  <si>
    <t>Arcane Trickster; Assassin; Soulknife; Thief</t>
  </si>
  <si>
    <t>简单但不无脑；要会找优势和安全位置。</t>
  </si>
  <si>
    <t>CHA / CON</t>
  </si>
  <si>
    <t>Blaster, flexible spell shaping</t>
  </si>
  <si>
    <t>Face, arcane flavor</t>
  </si>
  <si>
    <t>Innate Sorcery, Metamagic, focused spell list</t>
  </si>
  <si>
    <t>Aberrant Sorcery; Clockwork Sorcery; Draconic Sorcery; Wild Magic Sorcery</t>
  </si>
  <si>
    <t>比Wizard选项少，但资源节奏更细。</t>
  </si>
  <si>
    <t>Reliable magic damage, pact utility</t>
  </si>
  <si>
    <t>Face, occult story</t>
  </si>
  <si>
    <t>Eldritch Invocations, Pact Magic, short-rest rhythm</t>
  </si>
  <si>
    <t>Archfey Patron; Celestial Patron; Fiend Patron; Great Old One Patron</t>
  </si>
  <si>
    <t>适合想玩法术但不想准备一整本法术表的人。</t>
  </si>
  <si>
    <t>INT / CON / DEX</t>
  </si>
  <si>
    <t>Control, ritual utility, battlefield problem solving</t>
  </si>
  <si>
    <t>Knowledge, investigation, magic solutions</t>
  </si>
  <si>
    <t>Spellbook, preparation, control, ritual tools</t>
  </si>
  <si>
    <t>Abjurer; Diviner; Evoker; Illusionist</t>
  </si>
  <si>
    <t>上限最高之一，但需要玩家愿意读法术。</t>
  </si>
  <si>
    <t>Source Tier</t>
  </si>
  <si>
    <t>Player Fit</t>
  </si>
  <si>
    <t>Combat Identity</t>
  </si>
  <si>
    <t>新手冲锋/高伤害</t>
  </si>
  <si>
    <t>直接近战爆发</t>
  </si>
  <si>
    <t>如果玩家只想砍得爽，这是最稳的野蛮人入口。</t>
  </si>
  <si>
    <t>Path of the Wild Heart</t>
  </si>
  <si>
    <t>主题玩家/探索向</t>
  </si>
  <si>
    <t>野性适应与机动</t>
  </si>
  <si>
    <t>适合喜欢自然图腾感和变化能力。</t>
  </si>
  <si>
    <t>Path of the World Tree</t>
  </si>
  <si>
    <t>战术前排</t>
  </si>
  <si>
    <t>拉扯、保护、站位控制</t>
  </si>
  <si>
    <t>比Berserker更像保护型前排。</t>
  </si>
  <si>
    <t>Path of the Zealot</t>
  </si>
  <si>
    <t>圣战/不死不休幻想</t>
  </si>
  <si>
    <t>伤害与复归主题</t>
  </si>
  <si>
    <t>宗教战士感强，和Paladin有不同味道。</t>
  </si>
  <si>
    <t>College of Dance</t>
  </si>
  <si>
    <t>喜欢轻装近战/表现欲</t>
  </si>
  <si>
    <t>移动与近身支援</t>
  </si>
  <si>
    <t>不是传统后排吟游，适合老手尝鲜。</t>
  </si>
  <si>
    <t>College of Glamour</t>
  </si>
  <si>
    <t>社交控场玩家</t>
  </si>
  <si>
    <t>魅惑与团队位移/保护</t>
  </si>
  <si>
    <t>RP局很亮眼，战斗中也能改写站位。</t>
  </si>
  <si>
    <t>技能党/控场党</t>
  </si>
  <si>
    <t>知识、法术选择、削弱敌人</t>
  </si>
  <si>
    <t>万能工具箱，适合想当队伍大脑的人。</t>
  </si>
  <si>
    <t>College of Valor</t>
  </si>
  <si>
    <t>半前排支援</t>
  </si>
  <si>
    <t>武器与团队鼓舞</t>
  </si>
  <si>
    <t>比Lore更武斗，适合想拿剑上场的吟游。</t>
  </si>
  <si>
    <t>新手治疗/稳定支援</t>
  </si>
  <si>
    <t>治疗与续航</t>
  </si>
  <si>
    <t>最直观的支援路线，但不要把每回合都浪费在小治疗上。</t>
  </si>
  <si>
    <t>输出牧师</t>
  </si>
  <si>
    <t>光辉/火焰/范围伤害</t>
  </si>
  <si>
    <t>适合想当神圣炮台的人。</t>
  </si>
  <si>
    <t>Trickery Domain</t>
  </si>
  <si>
    <t>潜行/欺骗/战术</t>
  </si>
  <si>
    <t>错位、隐匿、干扰</t>
  </si>
  <si>
    <t>很有味道，但需要理解队友怎么吃到你的帮助。</t>
  </si>
  <si>
    <t>战斗牧师</t>
  </si>
  <si>
    <t>武器、护甲、前线神力</t>
  </si>
  <si>
    <t>适合队伍缺前排或想要神圣战士感。</t>
  </si>
  <si>
    <t>Circle of the Land</t>
  </si>
  <si>
    <t>传统施法德鲁伊</t>
  </si>
  <si>
    <t>地形/恢复/法术适应</t>
  </si>
  <si>
    <t>比Moon更像自然法师。</t>
  </si>
  <si>
    <t>变形前排</t>
  </si>
  <si>
    <t>Wild Shape 承伤与近战</t>
  </si>
  <si>
    <t>新手也能玩，但要懂变形限制。</t>
  </si>
  <si>
    <t>Circle of the Sea</t>
  </si>
  <si>
    <t>控场/海洋主题</t>
  </si>
  <si>
    <t>推拉与元素区域</t>
  </si>
  <si>
    <t>适合喜欢环境互动的玩家。</t>
  </si>
  <si>
    <t>辅助/稳定施法</t>
  </si>
  <si>
    <t>星象形态、多功能支援</t>
  </si>
  <si>
    <t>优秀的万金油支援与施法路线。</t>
  </si>
  <si>
    <t>战术玩家</t>
  </si>
  <si>
    <t>maneuvers控制和指挥</t>
  </si>
  <si>
    <t>老手最推荐的纯武器上限路线。</t>
  </si>
  <si>
    <t>纯新手</t>
  </si>
  <si>
    <t>稳定攻击和基础数值</t>
  </si>
  <si>
    <t>教学友好，但老手可能觉得选择少。</t>
  </si>
  <si>
    <t>魔战士幻想</t>
  </si>
  <si>
    <t>武器+防御/功能法术</t>
  </si>
  <si>
    <t>很帅，但要愿意学少量法术。</t>
  </si>
  <si>
    <t>Psi Warrior</t>
  </si>
  <si>
    <t>机动保护/灵能风格</t>
  </si>
  <si>
    <t>保护、位移、伤害补强</t>
  </si>
  <si>
    <t>偏团队型战士。</t>
  </si>
  <si>
    <t>治疗拳/队伍补位</t>
  </si>
  <si>
    <t>伤害+治疗/解除异常</t>
  </si>
  <si>
    <t>很适合小队缺应急回复时。</t>
  </si>
  <si>
    <t>潜行忍者</t>
  </si>
  <si>
    <t>暗影、隐匿、突袭</t>
  </si>
  <si>
    <t>探索和潜入局很有存在感。</t>
  </si>
  <si>
    <t>Warrior of the Elements</t>
  </si>
  <si>
    <t>元素武僧</t>
  </si>
  <si>
    <t>远近结合、元素控制</t>
  </si>
  <si>
    <t>比旧四元素更顺滑，适合幻想明确的玩家。</t>
  </si>
  <si>
    <t>Warrior of the Open Hand</t>
  </si>
  <si>
    <t>经典武僧</t>
  </si>
  <si>
    <t>拳脚控制、击退、击倒</t>
  </si>
  <si>
    <t>最像传统武侠/格斗家。</t>
  </si>
  <si>
    <t>正统圣骑士</t>
  </si>
  <si>
    <t>保护、净化、可靠前排</t>
  </si>
  <si>
    <t>最适合新手演“正派骑士”。</t>
  </si>
  <si>
    <t>Oath of Glory</t>
  </si>
  <si>
    <t>英雄主义/竞技感</t>
  </si>
  <si>
    <t>机动、爆发、鼓舞</t>
  </si>
  <si>
    <t>适合喜欢高光时刻的人。</t>
  </si>
  <si>
    <t>Oath of the Ancients</t>
  </si>
  <si>
    <t>自然守护者</t>
  </si>
  <si>
    <t>防护、自然主题、光明感</t>
  </si>
  <si>
    <t>偏守护与队伍抗性主题。</t>
  </si>
  <si>
    <t>复仇执行者</t>
  </si>
  <si>
    <t>追击、单体爆发</t>
  </si>
  <si>
    <t>强烈目标感，适合剧情钩子。</t>
  </si>
  <si>
    <t>Beast Master</t>
  </si>
  <si>
    <t>宠物玩家</t>
  </si>
  <si>
    <t>野兽同伴协战</t>
  </si>
  <si>
    <t>喜欢带伙伴的人会很开心；要注意行动经济。</t>
  </si>
  <si>
    <t>Fey Wanderer</t>
  </si>
  <si>
    <t>社交/妖精风</t>
  </si>
  <si>
    <t>魅力补强与心灵味道</t>
  </si>
  <si>
    <t>少见地让Ranger在社交上更亮。</t>
  </si>
  <si>
    <t>暗杀/地下城</t>
  </si>
  <si>
    <t>先手、暗处、爆发</t>
  </si>
  <si>
    <t>硬核地城很好用，但别把自己孤立太远。</t>
  </si>
  <si>
    <t>Hunter</t>
  </si>
  <si>
    <t>简单稳定猎手</t>
  </si>
  <si>
    <t>通用伤害选择</t>
  </si>
  <si>
    <t>新手游侠优先考虑。</t>
  </si>
  <si>
    <t>Arcane Trickster</t>
  </si>
  <si>
    <t>魔法盗贼</t>
  </si>
  <si>
    <t>幻术/惑控+偷袭</t>
  </si>
  <si>
    <t>技能与法术都要管，适合想阴招多的人。</t>
  </si>
  <si>
    <t>爆发/潜入</t>
  </si>
  <si>
    <t>先手击杀与伪装</t>
  </si>
  <si>
    <t>需要DM给潜入空间，否则体验会打折。</t>
  </si>
  <si>
    <t>灵能技能党</t>
  </si>
  <si>
    <t>心灵刀刃与技能稳定</t>
  </si>
  <si>
    <t>很适合间谍/心灵特工风格。</t>
  </si>
  <si>
    <t>新手技能工具人</t>
  </si>
  <si>
    <t>快速物品、攀爬、偷窃</t>
  </si>
  <si>
    <t>最像经典盗贼，上手舒服。</t>
  </si>
  <si>
    <t>Aberrant Sorcery</t>
  </si>
  <si>
    <t>心灵/异变</t>
  </si>
  <si>
    <t>心灵法术与异常控制</t>
  </si>
  <si>
    <t>故事味很浓，适合诡异/异界角色。</t>
  </si>
  <si>
    <t>Clockwork Sorcery</t>
  </si>
  <si>
    <t>秩序/防护</t>
  </si>
  <si>
    <t>稳定、修正、保护</t>
  </si>
  <si>
    <t>偏防守和秩序主题。</t>
  </si>
  <si>
    <t>龙血炮台</t>
  </si>
  <si>
    <t>元素伤害与防护</t>
  </si>
  <si>
    <t>最直观的术士幻想之一。</t>
  </si>
  <si>
    <t>混沌玩家</t>
  </si>
  <si>
    <t>随机事件和戏剧性</t>
  </si>
  <si>
    <t>需要玩家和DM都喜欢混乱。</t>
  </si>
  <si>
    <t>妖精/位移/魅惑</t>
  </si>
  <si>
    <t>机动和惑控</t>
  </si>
  <si>
    <t>非常适合诡计、梦境、妖精契约。</t>
  </si>
  <si>
    <t>Celestial Patron</t>
  </si>
  <si>
    <t>治疗契约</t>
  </si>
  <si>
    <t>魔法输出+治疗</t>
  </si>
  <si>
    <t>队伍缺治疗时很实用。</t>
  </si>
  <si>
    <t>黑暗爆发</t>
  </si>
  <si>
    <t>伤害与临时生命</t>
  </si>
  <si>
    <t>经典邪术师路线，手感稳定。</t>
  </si>
  <si>
    <t>Great Old One Patron</t>
  </si>
  <si>
    <t>心灵恐怖</t>
  </si>
  <si>
    <t>心灵法术与干扰</t>
  </si>
  <si>
    <t>适合洛夫克拉夫特风格。</t>
  </si>
  <si>
    <t>防护法师</t>
  </si>
  <si>
    <t>护盾、反制、生存</t>
  </si>
  <si>
    <t>高压局很靠谱。</t>
  </si>
  <si>
    <t>命运玩家</t>
  </si>
  <si>
    <t>预知和检定操控</t>
  </si>
  <si>
    <t>喜欢关键时刻改骰的人会很爽。</t>
  </si>
  <si>
    <t>Evoker</t>
  </si>
  <si>
    <t>爆破法师</t>
  </si>
  <si>
    <t>范围伤害与安全施法</t>
  </si>
  <si>
    <t>最直观的法师输出路线。</t>
  </si>
  <si>
    <t>Illusionist</t>
  </si>
  <si>
    <t>创造性玩家</t>
  </si>
  <si>
    <t>幻术、欺骗、战术想象力</t>
  </si>
  <si>
    <t>上限取决于玩家创造力和DM裁定。</t>
  </si>
  <si>
    <t>Ability Options</t>
  </si>
  <si>
    <t>Skill Proficiencies</t>
  </si>
  <si>
    <t>Tool Proficiency</t>
  </si>
  <si>
    <t>Best Fit</t>
  </si>
  <si>
    <t>Tags</t>
  </si>
  <si>
    <t>Human/DM note</t>
  </si>
  <si>
    <t>Source URL</t>
  </si>
  <si>
    <t>INT / WIS / CHA</t>
  </si>
  <si>
    <t>Insight; Religion</t>
  </si>
  <si>
    <t>Calligrapher's Supplies</t>
  </si>
  <si>
    <t>Cleric, Paladin, Druid, Wizard needing healing</t>
  </si>
  <si>
    <t>holy, support, wisdom, charisma</t>
  </si>
  <si>
    <t>适合宗教、神殿、神秘导师出身。</t>
  </si>
  <si>
    <t>https://www.dndbeyond.com/posts/1785-the-backgrounds-and-origin-feats-in-the-2024</t>
  </si>
  <si>
    <t>STR / DEX / INT</t>
  </si>
  <si>
    <t>Investigation; Persuasion</t>
  </si>
  <si>
    <t>One kind of Artisan's Tools</t>
  </si>
  <si>
    <t>Fighter, Rogue, Wizard, Artificer-like concepts</t>
  </si>
  <si>
    <t>craft, utility, intelligence, dexterity</t>
  </si>
  <si>
    <t>不是强度爆炸，但很有生活感，DM很好接剧情。</t>
  </si>
  <si>
    <t>https://roll20.net/compendium/dnd5e/Backgrounds%3AArtisan?expansion=32231</t>
  </si>
  <si>
    <t>DEX / CON / CHA</t>
  </si>
  <si>
    <t>Deception; Sleight of Hand</t>
  </si>
  <si>
    <t>Forgery Kit</t>
  </si>
  <si>
    <t>Bard, Rogue, Warlock, Sorcerer</t>
  </si>
  <si>
    <t>social, trick, stealth, charisma</t>
  </si>
  <si>
    <t>骗子不一定是坏人，也可以是职业谈判家。</t>
  </si>
  <si>
    <t>DEX / CON / INT</t>
  </si>
  <si>
    <t>Sleight of Hand; Stealth</t>
  </si>
  <si>
    <t>Thieves' Tools</t>
  </si>
  <si>
    <t>Rogue, Ranger, Fighter, Monk</t>
  </si>
  <si>
    <t>stealth, initiative, dexterity, scout</t>
  </si>
  <si>
    <t>潜入局很香；高压局Alert也很实用。</t>
  </si>
  <si>
    <t>STR / DEX / CHA</t>
  </si>
  <si>
    <t>Acrobatics; Performance</t>
  </si>
  <si>
    <t>One musical instrument</t>
  </si>
  <si>
    <t>Bard, Rogue, Monk, Paladin</t>
  </si>
  <si>
    <t>performance, social, support, charisma</t>
  </si>
  <si>
    <t>适合爱演的玩家，也能自然带动队友互动。</t>
  </si>
  <si>
    <t>STR / CON / WIS</t>
  </si>
  <si>
    <t>Animal Handling; Nature</t>
  </si>
  <si>
    <t>Carpenter's Tools</t>
  </si>
  <si>
    <t>Barbarian, Fighter, Druid, Cleric</t>
  </si>
  <si>
    <t>durable, nature, wisdom, frontline</t>
  </si>
  <si>
    <t>农夫出身非常适合‘普通人变英雄’。</t>
  </si>
  <si>
    <t>STR / INT / WIS</t>
  </si>
  <si>
    <t>Athletics; Perception</t>
  </si>
  <si>
    <t>One Gaming Set</t>
  </si>
  <si>
    <t>Fighter, Paladin, Cleric, Ranger</t>
  </si>
  <si>
    <t>initiative, perception, frontline, tactical</t>
  </si>
  <si>
    <t>守卫不是普通保安，是会看门、看人、看局势的人。</t>
  </si>
  <si>
    <t>DEX / CON / WIS</t>
  </si>
  <si>
    <t>Stealth; Survival</t>
  </si>
  <si>
    <t>Cartographer's Tools</t>
  </si>
  <si>
    <t>Ranger, Druid, Rogue, Monk</t>
  </si>
  <si>
    <t>exploration, survival, stealth, druidic magic</t>
  </si>
  <si>
    <t>野外冒险团非常实用。</t>
  </si>
  <si>
    <t>CON / WIS / CHA</t>
  </si>
  <si>
    <t>Medicine; Religion</t>
  </si>
  <si>
    <t>Herbalism Kit</t>
  </si>
  <si>
    <t>Cleric, Druid, Monk, Warlock</t>
  </si>
  <si>
    <t>healing, wisdom, mystery, support</t>
  </si>
  <si>
    <t>适合隐居修士、草药师、被启示困扰的人。</t>
  </si>
  <si>
    <t>Merchant</t>
  </si>
  <si>
    <t>CON / INT / CHA</t>
  </si>
  <si>
    <t>Animal Handling; Persuasion</t>
  </si>
  <si>
    <t>Navigator's Tools</t>
  </si>
  <si>
    <t>Bard, Warlock, Sorcerer, Paladin</t>
  </si>
  <si>
    <t>social, luck, travel, charisma</t>
  </si>
  <si>
    <t>商人背景很适合会说话、会算账、会跑路的角色。</t>
  </si>
  <si>
    <t>https://roll20.net/compendium/dnd5e/Backgrounds%3AMerchant?expansion=32231</t>
  </si>
  <si>
    <t>STR / INT / CHA</t>
  </si>
  <si>
    <t>History; Persuasion</t>
  </si>
  <si>
    <t>Paladin, Bard, Fighter, Sorcerer</t>
  </si>
  <si>
    <t>social, history, leadership, charisma</t>
  </si>
  <si>
    <t>贵族不是一定高贵，也可以是落魄继承人。</t>
  </si>
  <si>
    <t>CON / INT / WIS</t>
  </si>
  <si>
    <t>Arcana; History</t>
  </si>
  <si>
    <t>Wizard, Cleric, Druid, Warlock</t>
  </si>
  <si>
    <t>arcane, knowledge, intelligence, ritual</t>
  </si>
  <si>
    <t>学者背景是法系和队伍大脑的常见优选。</t>
  </si>
  <si>
    <t>Sailor</t>
  </si>
  <si>
    <t>STR / DEX / WIS</t>
  </si>
  <si>
    <t>Tavern Brawler</t>
  </si>
  <si>
    <t>Acrobatics; Perception</t>
  </si>
  <si>
    <t>Monk, Fighter, Rogue, Ranger</t>
  </si>
  <si>
    <t>mobility, brawler, perception, travel</t>
  </si>
  <si>
    <t>酒馆斗殴和船上生活给了它很强的冒险味。</t>
  </si>
  <si>
    <t>DEX / INT / WIS</t>
  </si>
  <si>
    <t>Investigation; Perception</t>
  </si>
  <si>
    <t>Wizard, Rogue, Cleric, Ranger</t>
  </si>
  <si>
    <t>investigation, perception, knowledge, skill</t>
  </si>
  <si>
    <t>书记员、档案员、间谍文书都能套。</t>
  </si>
  <si>
    <t>https://roll20.net/compendium/dnd5e/Backgrounds%3AScribe?expansion=32231</t>
  </si>
  <si>
    <t>STR / DEX / CON</t>
  </si>
  <si>
    <t>Athletics; Intimidation</t>
  </si>
  <si>
    <t>Fighter, Barbarian, Paladin, Ranger</t>
  </si>
  <si>
    <t>weapon, damage, frontline, discipline</t>
  </si>
  <si>
    <t>不只是老兵，也可以是逃兵、民兵、角斗士。</t>
  </si>
  <si>
    <t>DEX / WIS / CHA</t>
  </si>
  <si>
    <t>Insight; Stealth</t>
  </si>
  <si>
    <t>Rogue, Bard, Ranger, Warlock</t>
  </si>
  <si>
    <t>lucky, stealth, street, social</t>
  </si>
  <si>
    <t>流浪儿/街头幸存者，适合从底层爬出来的英雄。</t>
  </si>
  <si>
    <t>Primary Mechanical Flavor</t>
  </si>
  <si>
    <t>Human/DM table note</t>
  </si>
  <si>
    <t>celestial revelation, radiant/necrotic theme, once-per-turn burst flavor</t>
  </si>
  <si>
    <t>Paladin, Cleric, Warlock, Bard</t>
  </si>
  <si>
    <t>神圣血统很适合“被命运选中”的角色。</t>
  </si>
  <si>
    <t>holy, support, burst, dramatic</t>
  </si>
  <si>
    <t>https://www.dndbeyond.com/posts/1783-the-10-species-in-the-2024-players-handbook</t>
  </si>
  <si>
    <t>breath weapon, draconic resistance, dragon fantasy</t>
  </si>
  <si>
    <t>Paladin, Fighter, Sorcerer, Barbarian</t>
  </si>
  <si>
    <t>不再因为属性被迫走力量，法系龙裔也合理。</t>
  </si>
  <si>
    <t>dragon, elemental, frontline, sorcerer</t>
  </si>
  <si>
    <t>durability, darkvision, stone/earth fantasy</t>
  </si>
  <si>
    <t>Fighter, Cleric, Paladin, Wizard</t>
  </si>
  <si>
    <t>硬朗、工匠、地下城风味明显。</t>
  </si>
  <si>
    <t>durable, craft, dungeon</t>
  </si>
  <si>
    <t>keen senses, fey ancestry, innate magical lineage by elf kind</t>
  </si>
  <si>
    <t>Ranger, Rogue, Wizard, Druid</t>
  </si>
  <si>
    <t>适合优雅、长寿、隐秘、魔法血统主题。</t>
  </si>
  <si>
    <t>stealth, magic, perception, fey</t>
  </si>
  <si>
    <t>small, clever, magical/technical flavor</t>
  </si>
  <si>
    <t>Wizard, Rogue, Bard</t>
  </si>
  <si>
    <t>很适合机巧、学者、奇怪发明家。</t>
  </si>
  <si>
    <t>small, clever, magic, tinkering</t>
  </si>
  <si>
    <t>giant ancestry, big-body fantasy, physical presence</t>
  </si>
  <si>
    <t>Barbarian, Fighter, Paladin, Monk</t>
  </si>
  <si>
    <t>前排感强，也能做非传统高大游侠/僧侣。</t>
  </si>
  <si>
    <t>giant, frontline, strength, endurance</t>
  </si>
  <si>
    <t>luck, bravery, small hero energy</t>
  </si>
  <si>
    <t>很适合不靠体型靠运气和聪明活下来的角色。</t>
  </si>
  <si>
    <t>lucky, stealth, social, small</t>
  </si>
  <si>
    <t>extra Origin Feat, flexibility, Heroic Inspiration flavor</t>
  </si>
  <si>
    <t>Any class</t>
  </si>
  <si>
    <t>万金油。做推荐器时默认安全选项。</t>
  </si>
  <si>
    <t>flexible, extra origin feat, generalist</t>
  </si>
  <si>
    <t>adrenaline, darkvision, relentless physical fantasy</t>
  </si>
  <si>
    <t>Barbarian, Fighter, Ranger, Monk</t>
  </si>
  <si>
    <t>不再只等于反派；适合坚韧、野性、幸存者。</t>
  </si>
  <si>
    <t>frontline, survival, rush</t>
  </si>
  <si>
    <t>fiendish legacy, resistance and spell-like flavor</t>
  </si>
  <si>
    <t>Warlock, Sorcerer, Bard, Rogue</t>
  </si>
  <si>
    <t>边缘人、异界血统、黑暗魅力都很合适。</t>
  </si>
  <si>
    <t>fiend, magic, social, edge</t>
  </si>
  <si>
    <t>Legacy exception</t>
  </si>
  <si>
    <t>2014 species not reprinted in 2024 PHB; usable only by table policy</t>
  </si>
  <si>
    <t>Bard, Paladin, Warlock</t>
  </si>
  <si>
    <t>如果用2024规则，忽略旧物种ASI，用背景提供属性。</t>
  </si>
  <si>
    <t>legacy, social, flexible</t>
  </si>
  <si>
    <t>https://www.dndbeyond.com/posts/1810-updates-in-the-players-handbook-2024</t>
  </si>
  <si>
    <t>Barbarian, Fighter, Paladin</t>
  </si>
  <si>
    <t>和Orc不是同一个2024条目；别把旧ASI带进来。</t>
  </si>
  <si>
    <t>legacy, frontline, survival</t>
  </si>
  <si>
    <t>Function Group</t>
  </si>
  <si>
    <t>Best Use</t>
  </si>
  <si>
    <t>Pairs Well With</t>
  </si>
  <si>
    <t>Caution</t>
  </si>
  <si>
    <t>Initiative / tactical order</t>
  </si>
  <si>
    <t>高压局、控场、刺客、前排开局站位</t>
  </si>
  <si>
    <t>Guard, Criminal; Wizard, Rogue, Paladin, Fighter</t>
  </si>
  <si>
    <t>新手容易低估先手价值。</t>
  </si>
  <si>
    <t>Tools / economy / downtime</t>
  </si>
  <si>
    <t>低资源、制造、真实感强的长期团</t>
  </si>
  <si>
    <t>Artisan; Fighter, Rogue, Wizard concepts</t>
  </si>
  <si>
    <t>纯战斗短团收益不稳定。</t>
  </si>
  <si>
    <t>Recovery / support</t>
  </si>
  <si>
    <t>队伍缺治疗或资源紧张</t>
  </si>
  <si>
    <t>Hermit; Cleric, Druid, Monk, Rogue support</t>
  </si>
  <si>
    <t>不能替代完整治疗体系，但能补足应急。</t>
  </si>
  <si>
    <t>Reliability / clutch rolls</t>
  </si>
  <si>
    <t>关键攻击、豁免、技能检定</t>
  </si>
  <si>
    <t>Merchant, Wayfarer; any class</t>
  </si>
  <si>
    <t>越高压越值钱。</t>
  </si>
  <si>
    <t>Spell utility / divine</t>
  </si>
  <si>
    <t>补治疗、祝福、神圣感</t>
  </si>
  <si>
    <t>Acolyte; Paladin, Wizard, Bard, Warlock</t>
  </si>
  <si>
    <t>要看法术 DC/属性是否吃得到。</t>
  </si>
  <si>
    <t>Spell utility / nature</t>
  </si>
  <si>
    <t>探索、生存、自然法术</t>
  </si>
  <si>
    <t>Guide; Ranger, Rogue, Monk, Druid flavor</t>
  </si>
  <si>
    <t>不要只为了一个小法术牺牲主属性。</t>
  </si>
  <si>
    <t>Spell utility / arcane</t>
  </si>
  <si>
    <t>Find Familiar/Shield-like utility depending table availability</t>
  </si>
  <si>
    <t>Sage; Wizard, Fighter, Rogue, Cleric</t>
  </si>
  <si>
    <t>法术选择要和行动经济配合。</t>
  </si>
  <si>
    <t>Team inspiration / rest rhythm</t>
  </si>
  <si>
    <t>队伍重视短休/长休后的团体增益</t>
  </si>
  <si>
    <t>Entertainer; Bard, Paladin, Rogue</t>
  </si>
  <si>
    <t>如果团队几乎不休息，收益会低。</t>
  </si>
  <si>
    <t>Weapon damage</t>
  </si>
  <si>
    <t>武器近战/武器输出角色</t>
  </si>
  <si>
    <t>Soldier; Fighter, Barbarian, Paladin</t>
  </si>
  <si>
    <t>不是所有输出构筑最优，但很直观。</t>
  </si>
  <si>
    <t>Skill/tool coverage</t>
  </si>
  <si>
    <t>侦查、社交、知识、补队伍空缺</t>
  </si>
  <si>
    <t>Artisan? no; Charlatan, Noble, Scribe; Bard/Rogue/Wizard</t>
  </si>
  <si>
    <t>强在覆盖面，不是战斗爆发。</t>
  </si>
  <si>
    <t>Unarmed / improvised / shove flavor</t>
  </si>
  <si>
    <t>徒手、摔投、酒馆斗殴、武僧感</t>
  </si>
  <si>
    <t>Sailor; Monk, Fighter, Barbarian</t>
  </si>
  <si>
    <t>很有味道，但要确认DM如何处理环境物品。</t>
  </si>
  <si>
    <t>Hit point buffer</t>
  </si>
  <si>
    <t>新手、高压局、前排、脆皮补生存</t>
  </si>
  <si>
    <t>Farmer; Barbarian, Fighter, Cleric, Druid, Wizard</t>
  </si>
  <si>
    <t>简单强，不花哨。</t>
  </si>
  <si>
    <t>规则问题</t>
  </si>
  <si>
    <t>推荐处理</t>
  </si>
  <si>
    <t>理由/边界</t>
  </si>
  <si>
    <t>例子</t>
  </si>
  <si>
    <t>2024 PHB 与 2014 PHB 同名规则</t>
  </si>
  <si>
    <t>使用2024版本替换2014版本</t>
  </si>
  <si>
    <t>官方说明2024 PHB替换2014 PHB中的rules/classes/subclasses/spells/feats/equipment/species/backgrounds。</t>
  </si>
  <si>
    <t>2014 Fighter → 2024 Fighter；2014 feat若有2024版则用2024版。</t>
  </si>
  <si>
    <t>2014 PHB中未被2024 PHB重印的例外</t>
  </si>
  <si>
    <t>可用，但标记Legacy/DM Approval</t>
  </si>
  <si>
    <t>官方列出部分例外仍可用。</t>
  </si>
  <si>
    <t>Knowledge/Nature/Tempest Domain; Conjuration/Enchantment/Necromancy/Transmutation; Half-Elf; Half-Orc; Dungeon Delver; Linguist; Martial Adept。</t>
  </si>
  <si>
    <t>Xanathar/Tasha中被2024重印的选项</t>
  </si>
  <si>
    <t>使用2024重印版</t>
  </si>
  <si>
    <t>官方说明若XGtE/TCoE中的subclass/spell/feat出现在2024 PHB，以2024版替换。</t>
  </si>
  <si>
    <t>Gloom Stalker, Fey Wanderer, Psi Warrior等以2024文本为准。</t>
  </si>
  <si>
    <t>旧物种的Ability Score Increase</t>
  </si>
  <si>
    <t>忽略旧物种ASI，使用背景提供属性</t>
  </si>
  <si>
    <t>2024角色创建中属性来自背景；旧物种若带ASI，不再叠加。</t>
  </si>
  <si>
    <t>Half-Elf/Half-Orc若被允许，仍不要拿旧ASI。</t>
  </si>
  <si>
    <t>旧背景没有Origin Feat</t>
  </si>
  <si>
    <t>按官方兼容指南选择一个Origin Feat</t>
  </si>
  <si>
    <t>旧背景可保留叙事，但机械上要补足2024背景结构。</t>
  </si>
  <si>
    <t>旧Sage类背景没有feat时，由DM允许选择Origin Feat。</t>
  </si>
  <si>
    <t>旧书扩展（2014-2023）</t>
  </si>
  <si>
    <t>独立标记为Legacy，默认不进入Core推荐</t>
  </si>
  <si>
    <t>旧扩展和2024新扩展不是一类来源；需要DM审核。</t>
  </si>
  <si>
    <t>Sword Coast Adventurer's Guide, Xanathar's Guide to Everything, Tasha's Cauldron of Everything, Bigby's等旧体系资料。</t>
  </si>
  <si>
    <t>2024新扩展</t>
  </si>
  <si>
    <t>标记为2024 Expansion，可按战役启用</t>
  </si>
  <si>
    <t>与2024规则设计目标更一致，但仍看DM是否允许该设定书。</t>
  </si>
  <si>
    <t>Forgotten Realms: Heroes of Faerûn (2025)。</t>
  </si>
  <si>
    <t>https://www.dndbeyond.com/sources/dnd/frhof</t>
  </si>
  <si>
    <t>费伦书例子</t>
  </si>
  <si>
    <t>SCAG 2015 = Legacy；Heroes of Faerûn 2025 = 2024 Expansion</t>
  </si>
  <si>
    <t>两者都和Faerûn有关，但规则代际不同。</t>
  </si>
  <si>
    <t>想玩Bladesinger/Banneret时，优先查2024 Heroes of Faerûn，而不是直接套SCAG旧版。</t>
  </si>
  <si>
    <t>来源</t>
  </si>
  <si>
    <t>年份/规则代际</t>
  </si>
  <si>
    <t>在本工具中的开关</t>
  </si>
  <si>
    <t>玩家选项示例</t>
  </si>
  <si>
    <t>使用建议</t>
  </si>
  <si>
    <t>一句话判断</t>
  </si>
  <si>
    <t>Sword Coast Adventurer's Guide</t>
  </si>
  <si>
    <t>2015 / Legacy 2014-era</t>
  </si>
  <si>
    <t>Legacy 2014 Allowed with DM Approval</t>
  </si>
  <si>
    <t>旧版Faerûn地区设定、部分旧子职/法术/背景风味</t>
  </si>
  <si>
    <t>只作为旧书扩展处理；若2024有新版，优先新版。</t>
  </si>
  <si>
    <t>是旧费伦书，不是2024新扩展。</t>
  </si>
  <si>
    <t>Forgotten Realms: Heroes of Faerûn</t>
  </si>
  <si>
    <t>2025 / 2024 Expansion</t>
  </si>
  <si>
    <t>2024 + 2024 Expansions</t>
  </si>
  <si>
    <t>Character Species; Subclasses; Backgrounds; Feats; Spells; Factions</t>
  </si>
  <si>
    <t>若DM允许费伦新书，可作为2024原生扩展进入推荐。</t>
  </si>
  <si>
    <t>是2024体系下的新费伦玩家选项书。</t>
  </si>
  <si>
    <t>College of the Moon</t>
  </si>
  <si>
    <t>Bard subclass</t>
  </si>
  <si>
    <t>适合费伦魔法/月亮主题吟游。</t>
  </si>
  <si>
    <t>新费伦子职，非旧书搬运默认版。</t>
  </si>
  <si>
    <t>Cleric subclass</t>
  </si>
  <si>
    <t>若使用FRHOF版本，按2024新书处理；若使用2014 PHB版本则是Legacy exception。</t>
  </si>
  <si>
    <t>同名不同代际，要标清来源。</t>
  </si>
  <si>
    <t>Fighter subclass</t>
  </si>
  <si>
    <t>优先用FRHOF，而不是SCAG Purple Dragon Knight旧版。</t>
  </si>
  <si>
    <t>费伦旗手的2024路径。</t>
  </si>
  <si>
    <t>Paladin subclass</t>
  </si>
  <si>
    <t>适合政治、贵族、契约和费伦势力剧情。</t>
  </si>
  <si>
    <t>新费伦圣武士选项。</t>
  </si>
  <si>
    <t>Ranger subclass</t>
  </si>
  <si>
    <t>北地、冰雪、荒野战役优先。</t>
  </si>
  <si>
    <t>主题依赖战役地点。</t>
  </si>
  <si>
    <t>Rogue subclass</t>
  </si>
  <si>
    <t>适合阴谋、邪教、黑暗势力相关剧情。</t>
  </si>
  <si>
    <t>需要提前确认题材边界。</t>
  </si>
  <si>
    <t>Sorcerer subclass</t>
  </si>
  <si>
    <t>强费伦魔网风味，适合主线关联角色。</t>
  </si>
  <si>
    <t>剧情越重越好用。</t>
  </si>
  <si>
    <t>Wizard subclass</t>
  </si>
  <si>
    <t>如果DM允许FRHOF，优先用这一路径；不要直接套SCAG旧版。</t>
  </si>
  <si>
    <t>老名词，新来源要写清楚。</t>
  </si>
  <si>
    <t>模块</t>
  </si>
  <si>
    <t>问题</t>
  </si>
  <si>
    <t>记录</t>
  </si>
  <si>
    <t>玩家偏好</t>
  </si>
  <si>
    <t>你想在一局结束后记住自己哪种高光？砍杀、救人、谈判、潜入、解谜、搞笑、牺牲？</t>
  </si>
  <si>
    <t>找真实目标，而不是只问职业。</t>
  </si>
  <si>
    <t>你愿意每回合在多个选项里选，还是喜欢有一个稳定循环？</t>
  </si>
  <si>
    <t>决定复杂度。</t>
  </si>
  <si>
    <t>规则边界</t>
  </si>
  <si>
    <t>本团允许哪些来源？2024 Core Only / 2024 Expansion / Legacy with DM approval？</t>
  </si>
  <si>
    <t>避免建完卡后被否。</t>
  </si>
  <si>
    <t>是否允许 Forgotten Realms: Heroes of Faerûn？是否允许旧 Sword Coast Adventurer's Guide？</t>
  </si>
  <si>
    <t>明确费伦新旧书。</t>
  </si>
  <si>
    <t>队伍构成</t>
  </si>
  <si>
    <t>队伍目前缺前排、治疗、控场、侦查、社交还是AOE？</t>
  </si>
  <si>
    <t>避免全队五个输出。</t>
  </si>
  <si>
    <t>战役节奏</t>
  </si>
  <si>
    <t>短休多还是长休多？战斗多还是社交/探索多？</t>
  </si>
  <si>
    <t>影响Warlock、Bard、Druid等资源体验。</t>
  </si>
  <si>
    <t>死亡风险</t>
  </si>
  <si>
    <t>DM是否会针对低AC/低豁免？角色死亡是否常见？</t>
  </si>
  <si>
    <t>决定Tough/Alert/Lucky等保命权重。</t>
  </si>
  <si>
    <t>叙事钩子</t>
  </si>
  <si>
    <t>角色和世界有什么关系？家庭、组织、信仰、债务、敌人、导师？</t>
  </si>
  <si>
    <t>让角色不是空降数值表。</t>
  </si>
  <si>
    <t>DM备注</t>
  </si>
  <si>
    <t>这张卡有什么会拖慢游戏或需要提前裁定的地方？</t>
  </si>
  <si>
    <t>比如召唤、亡灵、幻术、潜入、旧书。</t>
  </si>
  <si>
    <t>Source</t>
  </si>
  <si>
    <t>URL</t>
  </si>
  <si>
    <t>What it supports in this workbook</t>
  </si>
  <si>
    <t>Reliability note</t>
  </si>
  <si>
    <t>D&amp;D Beyond — Player’s Handbook 2024 source page</t>
  </si>
  <si>
    <t>https://www.dndbeyond.com/sources/dnd/phb-2024</t>
  </si>
  <si>
    <t>2024 PHB contains character creation, classes, origins, feats, equipment, spells.</t>
  </si>
  <si>
    <t>Official WotC/D&amp;D Beyond source listing.</t>
  </si>
  <si>
    <t>D&amp;D Beyond — Updates in the Player’s Handbook (2024)</t>
  </si>
  <si>
    <t>Compatibility with older books; 12 classes x 4 subclasses; new origins; 2024 replacement rules.</t>
  </si>
  <si>
    <t>Official explanatory article.</t>
  </si>
  <si>
    <t>D&amp;D Beyond — The Backgrounds and Origin Feats in the 2024 Player's Handbook</t>
  </si>
  <si>
    <t>Background mechanics, origin feats, ability score movement to backgrounds, old background compatibility.</t>
  </si>
  <si>
    <t>D&amp;D Beyond — The 10 Species in the 2024 Player's Handbook</t>
  </si>
  <si>
    <t>Species list and 2024 species design notes.</t>
  </si>
  <si>
    <t>D&amp;D Beyond — Forgotten Realms: Heroes of Faerûn</t>
  </si>
  <si>
    <t>2024 Faerûn expansion source; subclasses/backgrounds/feats/spells/factions table of contents.</t>
  </si>
  <si>
    <t>Official source page.</t>
  </si>
  <si>
    <t>Roll20 Compendium — D&amp;D 2024 Backgrounds</t>
  </si>
  <si>
    <t>https://roll20.net/compendium/dnd5e/Rules%3ABackground%20Descriptions?expansion=32231</t>
  </si>
  <si>
    <t>Public check for the 16 2024 PHB backgrounds and some individual background component tables.</t>
  </si>
  <si>
    <t>Licensed compendium; used as secondary cross-check where official page content is not fully visible.</t>
  </si>
  <si>
    <t>Roll20 Compendium — Merchant background</t>
  </si>
  <si>
    <t>Merchant ability scores, feat, skills and tool.</t>
  </si>
  <si>
    <t>Secondary source cross-check.</t>
  </si>
  <si>
    <t>Roll20 Compendium — Artisan background</t>
  </si>
  <si>
    <t>Artisan ability scores, feat, skills and tool.</t>
  </si>
  <si>
    <t>Roll20 Compendium — Scribe background</t>
  </si>
  <si>
    <t>Scribe ability scores, feat, skills and tool.</t>
  </si>
  <si>
    <t>Difficulty</t>
  </si>
  <si>
    <t>Experience</t>
  </si>
  <si>
    <t>Personality</t>
  </si>
  <si>
    <t>Goal</t>
  </si>
  <si>
    <t>PartySlot</t>
  </si>
  <si>
    <t>SourceMode</t>
  </si>
  <si>
    <t>YesNo</t>
  </si>
  <si>
    <t>Dislike</t>
  </si>
  <si>
    <t>Style</t>
  </si>
  <si>
    <t>冲锋型</t>
  </si>
  <si>
    <t>生存</t>
  </si>
  <si>
    <t>Frontline</t>
  </si>
  <si>
    <t>圣光</t>
  </si>
  <si>
    <t>保护型</t>
  </si>
  <si>
    <t>输出</t>
  </si>
  <si>
    <t>Single-target Damage</t>
  </si>
  <si>
    <t>No</t>
  </si>
  <si>
    <t>暗影</t>
  </si>
  <si>
    <t>策略型</t>
  </si>
  <si>
    <t>控场</t>
  </si>
  <si>
    <t>AoE Damage</t>
  </si>
  <si>
    <t>自然</t>
  </si>
  <si>
    <t>社交型</t>
  </si>
  <si>
    <t>治疗/辅助</t>
  </si>
  <si>
    <t>Control</t>
  </si>
  <si>
    <t>贵族</t>
  </si>
  <si>
    <t>探索型</t>
  </si>
  <si>
    <t>社交</t>
  </si>
  <si>
    <t>Healing</t>
  </si>
  <si>
    <t>学者</t>
  </si>
  <si>
    <t>叙事型</t>
  </si>
  <si>
    <t>探索</t>
  </si>
  <si>
    <t>街头</t>
  </si>
  <si>
    <t>优化型</t>
  </si>
  <si>
    <t>Social Face</t>
  </si>
  <si>
    <t>荒野</t>
  </si>
  <si>
    <t>简单上手</t>
  </si>
  <si>
    <t>Utility</t>
  </si>
  <si>
    <t>支援型</t>
  </si>
  <si>
    <t>普通英雄</t>
  </si>
  <si>
    <t>异界契约</t>
  </si>
  <si>
    <t>费伦势力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</si>
</sst>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sz val="11"/>
      <color rgb="FF1F2937"/>
      <name val="宋体"/>
      <charset val="134"/>
    </font>
    <font>
      <sz val="11"/>
      <color rgb="FF1F2937"/>
      <name val="Carlito"/>
      <charset val="134"/>
    </font>
    <font>
      <b/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555555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555555"/>
      <name val="Carlito"/>
      <charset val="134"/>
    </font>
    <font>
      <b/>
      <sz val="18"/>
      <color rgb="FFFFFFFF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43447"/>
        <bgColor indexed="64"/>
      </patternFill>
    </fill>
    <fill>
      <patternFill patternType="solid">
        <fgColor rgb="FF7C5C36"/>
        <bgColor indexed="64"/>
      </patternFill>
    </fill>
    <fill>
      <patternFill patternType="solid">
        <fgColor rgb="FFF7F1E8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176" fontId="0" fillId="0" borderId="0" xfId="49" applyNumberFormat="1" applyFont="1" applyFill="1" applyBorder="1" applyAlignment="1">
      <alignment wrapText="1"/>
    </xf>
    <xf numFmtId="0" fontId="2" fillId="2" borderId="0" xfId="49" applyNumberFormat="1" applyFont="1" applyFill="1" applyBorder="1" applyAlignment="1">
      <alignment horizontal="center"/>
    </xf>
    <xf numFmtId="0" fontId="1" fillId="3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horizontal="left" wrapText="1"/>
    </xf>
    <xf numFmtId="0" fontId="6" fillId="2" borderId="0" xfId="49" applyNumberFormat="1" applyFont="1" applyFill="1" applyBorder="1" applyAlignment="1">
      <alignment horizontal="center" vertical="center"/>
    </xf>
    <xf numFmtId="0" fontId="7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F8D7DA"/>
        </patternFill>
      </fill>
    </dxf>
    <dxf>
      <fill>
        <patternFill patternType="solid">
          <bgColor rgb="FFDDEB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mboLibrary" displayName="ComboLibrary" ref="A1:W37">
  <tableColumns count="23">
    <tableColumn id="1" name="ID"/>
    <tableColumn id="2" name="规则层级"/>
    <tableColumn id="3" name="推荐名称"/>
    <tableColumn id="4" name="难度标签"/>
    <tableColumn id="5" name="经验标签"/>
    <tableColumn id="6" name="性格标签"/>
    <tableColumn id="7" name="目标标签"/>
    <tableColumn id="8" name="队伍槽位"/>
    <tableColumn id="9" name="操作复杂度"/>
    <tableColumn id="10" name="Source Mode"/>
    <tableColumn id="11" name="Species"/>
    <tableColumn id="12" name="Class"/>
    <tableColumn id="13" name="Subclass"/>
    <tableColumn id="14" name="Background"/>
    <tableColumn id="15" name="Origin Feat"/>
    <tableColumn id="16" name="推荐属性"/>
    <tableColumn id="17" name="核心玩法循环"/>
    <tableColumn id="18" name="优点"/>
    <tableColumn id="19" name="风险/踩坑"/>
    <tableColumn id="20" name="DM备注/兼容性"/>
    <tableColumn id="21" name="AvoidTags"/>
    <tableColumn id="22" name="匹配得分"/>
    <tableColumn id="23" name="手写感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sses2024" displayName="Classes2024" ref="A1:J13">
  <tableColumns count="10">
    <tableColumn id="1" name="Class"/>
    <tableColumn id="2" name="Primary Ability"/>
    <tableColumn id="3" name="Combat Role"/>
    <tableColumn id="4" name="Out-of-Combat Role"/>
    <tableColumn id="5" name="Complexity"/>
    <tableColumn id="6" name="New Player Fit"/>
    <tableColumn id="7" name="Hard Mode Fit"/>
    <tableColumn id="8" name="Core Loop"/>
    <tableColumn id="9" name="2024 PHB Subclasses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bclasses2024" displayName="Subclasses2024" ref="A1:G49">
  <tableColumns count="7">
    <tableColumn id="1" name="Class"/>
    <tableColumn id="2" name="Subclass"/>
    <tableColumn id="3" name="Source Tier"/>
    <tableColumn id="4" name="Player Fit"/>
    <tableColumn id="5" name="Combat Identity"/>
    <tableColumn id="6" name="Complexity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ckgrounds2024" displayName="Backgrounds2024" ref="A1:J17">
  <tableColumns count="10">
    <tableColumn id="1" name="Background"/>
    <tableColumn id="2" name="Source Tier"/>
    <tableColumn id="3" name="Ability Options"/>
    <tableColumn id="4" name="Origin Feat"/>
    <tableColumn id="5" name="Skill Proficiencies"/>
    <tableColumn id="6" name="Tool Proficiency"/>
    <tableColumn id="7" name="Best Fit"/>
    <tableColumn id="8" name="Tags"/>
    <tableColumn id="9" name="Human/DM note"/>
    <tableColumn id="10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pecies2024" displayName="Species2024" ref="A1:H13">
  <tableColumns count="8">
    <tableColumn id="1" name="Species"/>
    <tableColumn id="2" name="Source Tier"/>
    <tableColumn id="3" name="Primary Mechanical Flavor"/>
    <tableColumn id="4" name="Best Fit"/>
    <tableColumn id="5" name="Complexity"/>
    <tableColumn id="6" name="Human/DM table note"/>
    <tableColumn id="7" name="Tags"/>
    <tableColumn id="8" name="Sourc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riginFeats2024" displayName="OriginFeats2024" ref="A1:G13">
  <tableColumns count="7">
    <tableColumn id="1" name="Origin Feat"/>
    <tableColumn id="2" name="Source Tier"/>
    <tableColumn id="3" name="Function Group"/>
    <tableColumn id="4" name="Best Use"/>
    <tableColumn id="5" name="Pairs Well With"/>
    <tableColumn id="6" name="Caution"/>
    <tableColumn id="7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tibilityRules" displayName="CompatibilityRules" ref="A1:E9">
  <tableColumns count="5">
    <tableColumn id="1" name="规则问题"/>
    <tableColumn id="2" name="推荐处理"/>
    <tableColumn id="3" name="理由/边界"/>
    <tableColumn id="4" name="例子"/>
    <tableColumn id="5" name="Source 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aerunRules" displayName="FaerunRules" ref="A1:G11">
  <tableColumns count="7">
    <tableColumn id="1" name="来源"/>
    <tableColumn id="2" name="年份/规则代际"/>
    <tableColumn id="3" name="在本工具中的开关"/>
    <tableColumn id="4" name="玩家选项示例"/>
    <tableColumn id="5" name="使用建议"/>
    <tableColumn id="6" name="一句话判断"/>
    <tableColumn id="7" name="Sourc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InterviewQuestions" displayName="InterviewQuestions" ref="A1:D10">
  <tableColumns count="4">
    <tableColumn id="1" name="模块"/>
    <tableColumn id="2" name="问题"/>
    <tableColumn id="3" name="用途"/>
    <tableColumn id="4" name="记录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SourcesTable" displayName="SourcesTable" ref="A1:D10">
  <tableColumns count="4">
    <tableColumn id="1" name="Source"/>
    <tableColumn id="2" name="URL"/>
    <tableColumn id="3" name="What it supports in this workbook"/>
    <tableColumn id="4" name="Reliability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A18" workbookViewId="0">
      <selection activeCell="A3" sqref="A3:H5"/>
    </sheetView>
  </sheetViews>
  <sheetFormatPr defaultColWidth="9" defaultRowHeight="16.8" outlineLevelCol="7"/>
  <cols>
    <col min="1" max="8" width="18" customWidth="1"/>
  </cols>
  <sheetData>
    <row r="1" ht="21.6" customHeight="1" spans="1:8">
      <c r="A1" s="9" t="s">
        <v>0</v>
      </c>
    </row>
    <row r="3" ht="171.6" customHeight="1" spans="1:8">
      <c r="A3" s="6" t="s">
        <v>1</v>
      </c>
      <c r="B3" s="7"/>
      <c r="C3" s="7"/>
      <c r="D3" s="7"/>
      <c r="E3" s="7"/>
      <c r="F3" s="7"/>
      <c r="G3" s="7"/>
      <c r="H3" s="7"/>
    </row>
    <row r="4" ht="15" customHeight="1" spans="1:8">
      <c r="A4" s="7"/>
      <c r="B4" s="7"/>
      <c r="C4" s="7"/>
      <c r="D4" s="7"/>
      <c r="E4" s="7"/>
      <c r="F4" s="7"/>
      <c r="G4" s="7"/>
      <c r="H4" s="7"/>
    </row>
    <row r="5" ht="15" customHeight="1" spans="1:8">
      <c r="A5" s="7"/>
      <c r="B5" s="7"/>
      <c r="C5" s="7"/>
      <c r="D5" s="7"/>
      <c r="E5" s="7"/>
      <c r="F5" s="7"/>
      <c r="G5" s="7"/>
      <c r="H5" s="7"/>
    </row>
    <row r="7" ht="15" customHeight="1" spans="1:8">
      <c r="A7" s="5" t="s">
        <v>2</v>
      </c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</row>
    <row r="8" ht="15" customHeight="1" spans="1:8">
      <c r="A8" s="1" t="s">
        <v>3</v>
      </c>
      <c r="B8" s="1" t="s">
        <v>4</v>
      </c>
      <c r="C8" s="1" t="s">
        <v>5</v>
      </c>
    </row>
    <row r="9" ht="39.6" customHeight="1" spans="1:8">
      <c r="A9" s="2" t="s">
        <v>6</v>
      </c>
      <c r="B9" s="2" t="s">
        <v>7</v>
      </c>
      <c r="C9" s="2" t="s">
        <v>8</v>
      </c>
    </row>
    <row r="10" ht="39.6" customHeight="1" spans="1:8">
      <c r="A10" s="2" t="s">
        <v>9</v>
      </c>
      <c r="B10" s="2" t="s">
        <v>10</v>
      </c>
      <c r="C10" s="2" t="s">
        <v>11</v>
      </c>
    </row>
    <row r="11" ht="39.6" customHeight="1" spans="1:8">
      <c r="A11" s="2" t="s">
        <v>12</v>
      </c>
      <c r="B11" s="2" t="s">
        <v>13</v>
      </c>
      <c r="C11" s="2" t="s">
        <v>14</v>
      </c>
    </row>
    <row r="12" ht="39.6" customHeight="1" spans="1:8">
      <c r="A12" s="2" t="s">
        <v>15</v>
      </c>
      <c r="B12" s="2" t="s">
        <v>16</v>
      </c>
      <c r="C12" s="2" t="s">
        <v>17</v>
      </c>
    </row>
    <row r="13" ht="26.4" customHeight="1" spans="1:8">
      <c r="A13" s="2" t="s">
        <v>18</v>
      </c>
      <c r="B13" s="2" t="s">
        <v>19</v>
      </c>
      <c r="C13" s="2" t="s">
        <v>20</v>
      </c>
    </row>
    <row r="14" ht="39.6" customHeight="1" spans="1:8">
      <c r="A14" s="2" t="s">
        <v>21</v>
      </c>
      <c r="B14" s="2" t="s">
        <v>22</v>
      </c>
      <c r="C14" s="2" t="s">
        <v>23</v>
      </c>
    </row>
    <row r="15" ht="26.4" customHeight="1" spans="1:8">
      <c r="A15" s="2" t="s">
        <v>24</v>
      </c>
      <c r="B15" s="2" t="s">
        <v>25</v>
      </c>
      <c r="C15" s="2" t="s">
        <v>26</v>
      </c>
    </row>
    <row r="16" ht="15" customHeight="1" spans="1:8">
      <c r="A16" s="2"/>
      <c r="B16" s="2"/>
      <c r="C16" s="2"/>
    </row>
    <row r="18" ht="15" customHeight="1" spans="1:8">
      <c r="A18" s="5" t="s">
        <v>27</v>
      </c>
    </row>
    <row r="19" ht="184.8" customHeight="1" spans="1:8">
      <c r="A19" s="7" t="s">
        <v>28</v>
      </c>
      <c r="B19" s="7"/>
      <c r="C19" s="7"/>
      <c r="D19" s="7"/>
      <c r="E19" s="7"/>
      <c r="F19" s="7"/>
      <c r="G19" s="7"/>
      <c r="H19" s="7"/>
    </row>
    <row r="20" ht="15" customHeight="1" spans="1:8">
      <c r="A20" s="7"/>
      <c r="B20" s="7"/>
      <c r="C20" s="7"/>
      <c r="D20" s="7"/>
      <c r="E20" s="7"/>
      <c r="F20" s="7"/>
      <c r="G20" s="7"/>
      <c r="H20" s="7"/>
    </row>
    <row r="21" ht="15" customHeight="1" spans="1:8">
      <c r="A21" s="7"/>
      <c r="B21" s="7"/>
      <c r="C21" s="7"/>
      <c r="D21" s="7"/>
      <c r="E21" s="7"/>
      <c r="F21" s="7"/>
      <c r="G21" s="7"/>
      <c r="H21" s="7"/>
    </row>
    <row r="22" ht="15" customHeight="1" spans="1:8">
      <c r="A22" s="7"/>
      <c r="B22" s="7"/>
      <c r="C22" s="7"/>
      <c r="D22" s="7"/>
      <c r="E22" s="7"/>
      <c r="F22" s="7"/>
      <c r="G22" s="7"/>
      <c r="H22" s="7"/>
    </row>
    <row r="23" ht="15" customHeight="1" spans="1:8">
      <c r="A23" s="7"/>
      <c r="B23" s="7"/>
      <c r="C23" s="7"/>
      <c r="D23" s="7"/>
      <c r="E23" s="7"/>
      <c r="F23" s="7"/>
      <c r="G23" s="7"/>
      <c r="H23" s="7"/>
    </row>
    <row r="25" ht="66" customHeight="1" spans="1:8">
      <c r="A25" s="10" t="s">
        <v>29</v>
      </c>
    </row>
  </sheetData>
  <mergeCells count="5">
    <mergeCell ref="A1:H1"/>
    <mergeCell ref="A18:H18"/>
    <mergeCell ref="A25:H25"/>
    <mergeCell ref="A3:H5"/>
    <mergeCell ref="A19:H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11" workbookViewId="0">
      <selection activeCell="B15" sqref="B15"/>
    </sheetView>
  </sheetViews>
  <sheetFormatPr defaultColWidth="9" defaultRowHeight="16.8" outlineLevelCol="5"/>
  <cols>
    <col min="1" max="1" width="10" customWidth="1"/>
    <col min="2" max="2" width="24" customWidth="1"/>
    <col min="3" max="3" width="34" customWidth="1"/>
    <col min="4" max="4" width="10" customWidth="1"/>
    <col min="5" max="5" width="18" customWidth="1"/>
    <col min="6" max="6" width="52" customWidth="1"/>
  </cols>
  <sheetData>
    <row r="1" ht="19.2" customHeight="1" spans="1:3">
      <c r="A1" s="4" t="s">
        <v>30</v>
      </c>
    </row>
    <row r="3" ht="15" customHeight="1" spans="1:3">
      <c r="A3" s="1" t="s">
        <v>31</v>
      </c>
      <c r="B3" s="1" t="s">
        <v>32</v>
      </c>
      <c r="C3" s="1" t="s">
        <v>33</v>
      </c>
    </row>
    <row r="4" ht="26.4" customHeight="1" spans="1:3">
      <c r="A4" s="2" t="s">
        <v>34</v>
      </c>
      <c r="B4" s="8" t="s">
        <v>35</v>
      </c>
      <c r="C4" s="2" t="s">
        <v>36</v>
      </c>
    </row>
    <row r="5" ht="26.4" customHeight="1" spans="1:3">
      <c r="A5" s="2" t="s">
        <v>37</v>
      </c>
      <c r="B5" s="8" t="s">
        <v>38</v>
      </c>
      <c r="C5" s="2" t="s">
        <v>39</v>
      </c>
    </row>
    <row r="6" ht="26.4" customHeight="1" spans="1:3">
      <c r="A6" s="2" t="s">
        <v>40</v>
      </c>
      <c r="B6" s="8" t="s">
        <v>41</v>
      </c>
      <c r="C6" s="2" t="s">
        <v>42</v>
      </c>
    </row>
    <row r="7" ht="26.4" customHeight="1" spans="1:3">
      <c r="A7" s="2" t="s">
        <v>43</v>
      </c>
      <c r="B7" s="8" t="s">
        <v>44</v>
      </c>
      <c r="C7" s="2" t="s">
        <v>45</v>
      </c>
    </row>
    <row r="8" ht="15" customHeight="1" spans="1:3">
      <c r="A8" s="2" t="s">
        <v>46</v>
      </c>
      <c r="B8" s="8" t="s">
        <v>47</v>
      </c>
      <c r="C8" s="2" t="s">
        <v>48</v>
      </c>
    </row>
    <row r="9" ht="15" customHeight="1" spans="1:3">
      <c r="A9" s="2" t="s">
        <v>49</v>
      </c>
      <c r="B9" s="8" t="s">
        <v>50</v>
      </c>
      <c r="C9" s="2" t="s">
        <v>51</v>
      </c>
    </row>
    <row r="10" ht="39.6" customHeight="1" spans="1:3">
      <c r="A10" s="2" t="s">
        <v>52</v>
      </c>
      <c r="B10" s="8" t="s">
        <v>53</v>
      </c>
      <c r="C10" s="2" t="s">
        <v>54</v>
      </c>
    </row>
    <row r="11" ht="52.8" customHeight="1" spans="1:3">
      <c r="A11" s="2" t="s">
        <v>55</v>
      </c>
      <c r="B11" s="8" t="s">
        <v>56</v>
      </c>
      <c r="C11" s="2" t="s">
        <v>57</v>
      </c>
    </row>
    <row r="12" ht="26.4" customHeight="1" spans="1:3">
      <c r="A12" s="2" t="s">
        <v>58</v>
      </c>
      <c r="B12" s="8" t="s">
        <v>59</v>
      </c>
      <c r="C12" s="2" t="s">
        <v>60</v>
      </c>
    </row>
    <row r="13" ht="26.4" customHeight="1" spans="1:3">
      <c r="A13" s="2" t="s">
        <v>61</v>
      </c>
      <c r="B13" s="8" t="s">
        <v>62</v>
      </c>
      <c r="C13" s="2" t="s">
        <v>63</v>
      </c>
    </row>
    <row r="14" ht="15" customHeight="1" spans="1:3">
      <c r="A14" s="2" t="s">
        <v>64</v>
      </c>
      <c r="B14" s="2" t="s">
        <v>65</v>
      </c>
      <c r="C14" s="2" t="s">
        <v>66</v>
      </c>
    </row>
    <row r="15" ht="26.4" customHeight="1" spans="1:3">
      <c r="A15" s="2" t="s">
        <v>67</v>
      </c>
      <c r="B15" s="2" t="s">
        <v>65</v>
      </c>
      <c r="C15" s="2" t="s">
        <v>68</v>
      </c>
    </row>
    <row r="17" ht="26.4" customHeight="1" spans="1:6">
      <c r="A17" s="5" t="s">
        <v>69</v>
      </c>
    </row>
    <row r="18" ht="15" customHeight="1" spans="1:6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75</v>
      </c>
    </row>
    <row r="19" ht="15" customHeight="1" spans="1:6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41</v>
      </c>
      <c r="F19" s="2" t="s">
        <v>80</v>
      </c>
    </row>
    <row r="20" ht="15" customHeight="1" spans="1:6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86</v>
      </c>
    </row>
    <row r="21" ht="15" customHeight="1" spans="1:6">
      <c r="A21" s="2" t="s">
        <v>87</v>
      </c>
      <c r="B21" s="2" t="s">
        <v>88</v>
      </c>
      <c r="C21" s="2" t="s">
        <v>89</v>
      </c>
      <c r="D21" s="2" t="s">
        <v>38</v>
      </c>
      <c r="E21" s="2" t="s">
        <v>90</v>
      </c>
      <c r="F21" s="2" t="s">
        <v>91</v>
      </c>
    </row>
    <row r="22" ht="15" customHeight="1" spans="1:6">
      <c r="A22" s="2" t="s">
        <v>35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96</v>
      </c>
    </row>
    <row r="23" ht="15" customHeight="1" spans="1:6">
      <c r="A23" s="2" t="s">
        <v>97</v>
      </c>
      <c r="B23" s="2" t="s">
        <v>98</v>
      </c>
      <c r="C23" s="2" t="s">
        <v>99</v>
      </c>
      <c r="D23" s="2" t="s">
        <v>65</v>
      </c>
      <c r="E23" s="2" t="s">
        <v>65</v>
      </c>
      <c r="F23" s="2" t="s">
        <v>65</v>
      </c>
    </row>
    <row r="24" ht="15" customHeight="1" spans="1:6">
      <c r="A24" s="2"/>
      <c r="B24" s="2"/>
      <c r="C24" s="2"/>
      <c r="D24" s="2"/>
      <c r="E24" s="2"/>
      <c r="F24" s="2"/>
    </row>
  </sheetData>
  <mergeCells count="2">
    <mergeCell ref="A1:F1"/>
    <mergeCell ref="A17:F17"/>
  </mergeCells>
  <dataValidations count="10">
    <dataValidation type="list" sqref="B4">
      <formula1>Lists!$A$2:$A$6</formula1>
    </dataValidation>
    <dataValidation type="list" sqref="B5">
      <formula1>Lists!$B$2:$B$5</formula1>
    </dataValidation>
    <dataValidation type="list" sqref="B6">
      <formula1>Lists!$C$2:$C$4</formula1>
    </dataValidation>
    <dataValidation type="list" sqref="B7">
      <formula1>Lists!$D$2:$D$10</formula1>
    </dataValidation>
    <dataValidation type="list" sqref="B8">
      <formula1>Lists!$E$2:$E$9</formula1>
    </dataValidation>
    <dataValidation type="list" sqref="B9">
      <formula1>Lists!$F$2:$F$9</formula1>
    </dataValidation>
    <dataValidation type="list" sqref="B10">
      <formula1>Lists!$G$2:$G$4</formula1>
    </dataValidation>
    <dataValidation type="list" sqref="B11">
      <formula1>Lists!$H$2:$H$3</formula1>
    </dataValidation>
    <dataValidation type="list" sqref="B12">
      <formula1>Lists!$I$2:$I$6</formula1>
    </dataValidation>
    <dataValidation type="list" sqref="B13">
      <formula1>Lists!$J$2:$J$12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opLeftCell="A19" workbookViewId="0">
      <selection activeCell="A20" sqref="A20:K24"/>
    </sheetView>
  </sheetViews>
  <sheetFormatPr defaultColWidth="9" defaultRowHeight="16.8"/>
  <cols>
    <col min="1" max="1" width="8" customWidth="1"/>
    <col min="2" max="2" width="10" customWidth="1"/>
    <col min="3" max="3" width="28" customWidth="1"/>
    <col min="4" max="4" width="34" customWidth="1"/>
    <col min="5" max="5" width="16" customWidth="1"/>
    <col min="6" max="6" width="18" customWidth="1"/>
    <col min="7" max="7" width="30" customWidth="1"/>
    <col min="8" max="8" width="20" customWidth="1"/>
    <col min="9" max="9" width="26" customWidth="1"/>
    <col min="10" max="10" width="55" customWidth="1"/>
    <col min="11" max="11" width="60" customWidth="1"/>
  </cols>
  <sheetData>
    <row r="1" ht="19.2" customHeight="1" spans="1:11">
      <c r="A1" s="4" t="s">
        <v>100</v>
      </c>
    </row>
    <row r="3" ht="15" customHeight="1" spans="1:11">
      <c r="A3" s="5" t="s">
        <v>101</v>
      </c>
      <c r="B3" s="5" t="s">
        <v>65</v>
      </c>
      <c r="C3" s="5" t="s">
        <v>65</v>
      </c>
      <c r="D3" s="5" t="s">
        <v>65</v>
      </c>
      <c r="E3" s="5" t="s">
        <v>65</v>
      </c>
      <c r="F3" s="5" t="s">
        <v>65</v>
      </c>
      <c r="G3" s="5" t="s">
        <v>65</v>
      </c>
      <c r="H3" s="5" t="s">
        <v>65</v>
      </c>
      <c r="I3" s="5" t="s">
        <v>65</v>
      </c>
      <c r="J3" s="5" t="s">
        <v>65</v>
      </c>
      <c r="K3" s="5" t="s">
        <v>65</v>
      </c>
    </row>
    <row r="4" ht="15" customHeight="1" spans="1:11">
      <c r="A4" s="2" t="s">
        <v>34</v>
      </c>
      <c r="B4" s="2" t="str">
        <f>'01_玩家问卷'!B4</f>
        <v>D3</v>
      </c>
      <c r="C4" s="2" t="s">
        <v>37</v>
      </c>
      <c r="D4" s="2" t="str">
        <f>'01_玩家问卷'!B5</f>
        <v>N2</v>
      </c>
      <c r="E4" s="2" t="s">
        <v>102</v>
      </c>
      <c r="F4" s="2" t="str">
        <f>'01_玩家问卷'!B7</f>
        <v>混沌型</v>
      </c>
      <c r="G4" s="2" t="s">
        <v>103</v>
      </c>
      <c r="H4" s="2" t="str">
        <f>'01_玩家问卷'!B8</f>
        <v>全能</v>
      </c>
      <c r="I4" s="2" t="s">
        <v>52</v>
      </c>
      <c r="J4" s="2" t="str">
        <f>'01_玩家问卷'!B10</f>
        <v>2024 Core Only</v>
      </c>
    </row>
    <row r="5" ht="26.4" customHeight="1" spans="1:11">
      <c r="A5" s="2" t="s">
        <v>104</v>
      </c>
      <c r="B5" s="2" t="str">
        <f>'01_玩家问卷'!B9</f>
        <v>Exploration/Scout</v>
      </c>
      <c r="C5" s="2" t="s">
        <v>105</v>
      </c>
      <c r="D5" s="2" t="str">
        <f>'01_玩家问卷'!B6</f>
        <v>Low</v>
      </c>
      <c r="E5" s="2" t="s">
        <v>106</v>
      </c>
      <c r="F5" s="2" t="str">
        <f>'01_玩家问卷'!B11</f>
        <v>Yes</v>
      </c>
      <c r="G5" s="2" t="s">
        <v>107</v>
      </c>
      <c r="H5" s="2" t="str">
        <f>'01_玩家问卷'!B12</f>
        <v>None</v>
      </c>
      <c r="I5" s="2" t="s">
        <v>108</v>
      </c>
      <c r="J5" s="2" t="str">
        <f>'01_玩家问卷'!B13</f>
        <v>龙血</v>
      </c>
    </row>
    <row r="7" ht="15" customHeight="1" spans="1:11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  <c r="G7" s="1" t="s">
        <v>115</v>
      </c>
      <c r="H7" s="1" t="s">
        <v>116</v>
      </c>
      <c r="I7" s="1" t="s">
        <v>117</v>
      </c>
      <c r="J7" s="1" t="s">
        <v>118</v>
      </c>
      <c r="K7" s="1" t="s">
        <v>119</v>
      </c>
    </row>
    <row r="8" ht="26.4" customHeight="1" spans="1:11">
      <c r="A8" s="2">
        <f>1</f>
        <v>1</v>
      </c>
      <c r="B8" s="3">
        <f>LARGE('03_组合库'!$V$2:$V$37,1)</f>
        <v>70.009</v>
      </c>
      <c r="C8" s="2" t="str">
        <f>INDEX('03_组合库'!$C$2:$C$37,MATCH(LARGE('03_组合库'!$V$2:$V$37,1),'03_组合库'!$V$2:$V$37,0))</f>
        <v>高危潜入：Human Assassin</v>
      </c>
      <c r="D8" s="2" t="str">
        <f>INDEX('03_组合库'!$J$2:$J$37,MATCH(LARGE('03_组合库'!$V$2:$V$37,1),'03_组合库'!$V$2:$V$37,0))</f>
        <v>2024 PHB</v>
      </c>
      <c r="E8" s="2" t="str">
        <f>INDEX('03_组合库'!$K$2:$K$37,MATCH(LARGE('03_组合库'!$V$2:$V$37,1),'03_组合库'!$V$2:$V$37,0))</f>
        <v>Human</v>
      </c>
      <c r="F8" s="2" t="str">
        <f>INDEX('03_组合库'!$L$2:$L$37,MATCH(LARGE('03_组合库'!$V$2:$V$37,1),'03_组合库'!$V$2:$V$37,0))</f>
        <v>Rogue</v>
      </c>
      <c r="G8" s="2" t="str">
        <f>INDEX('03_组合库'!$M$2:$M$37,MATCH(LARGE('03_组合库'!$V$2:$V$37,1),'03_组合库'!$V$2:$V$37,0))</f>
        <v>Assassin</v>
      </c>
      <c r="H8" s="2" t="str">
        <f>INDEX('03_组合库'!$N$2:$N$37,MATCH(LARGE('03_组合库'!$V$2:$V$37,1),'03_组合库'!$V$2:$V$37,0))</f>
        <v>Criminal</v>
      </c>
      <c r="I8" s="2" t="str">
        <f>INDEX('03_组合库'!$O$2:$O$37,MATCH(LARGE('03_组合库'!$V$2:$V$37,1),'03_组合库'!$V$2:$V$37,0))</f>
        <v>Alert</v>
      </c>
      <c r="J8" s="2" t="str">
        <f>INDEX('03_组合库'!$Q$2:$Q$37,MATCH(LARGE('03_组合库'!$V$2:$V$37,1),'03_组合库'!$V$2:$V$37,0))</f>
        <v>争取先手和优势，潜入、伪装、爆发偷袭。Human可额外拿Skilled或Lucky。</v>
      </c>
      <c r="K8" s="2" t="str">
        <f>INDEX('03_组合库'!$S$2:$S$37,MATCH(LARGE('03_组合库'!$V$2:$V$37,1),'03_组合库'!$V$2:$V$37,0))&amp;" / "&amp;INDEX('03_组合库'!$T$2:$T$37,MATCH(LARGE('03_组合库'!$V$2:$V$37,1),'03_组合库'!$V$2:$V$37,0))</f>
        <v>纯正面团战会打折。 / 纯2024核心规则。</v>
      </c>
    </row>
    <row r="9" ht="15" customHeight="1" spans="1:11">
      <c r="A9" s="2">
        <f>2</f>
        <v>2</v>
      </c>
      <c r="B9" s="3">
        <f>LARGE('03_组合库'!$V$2:$V$37,2)</f>
        <v>55.025</v>
      </c>
      <c r="C9" s="2" t="str">
        <f>INDEX('03_组合库'!$C$2:$C$37,MATCH(LARGE('03_组合库'!$V$2:$V$37,2),'03_组合库'!$V$2:$V$37,0))</f>
        <v>心灵特工：Elf Soulknife</v>
      </c>
      <c r="D9" s="2" t="str">
        <f>INDEX('03_组合库'!$J$2:$J$37,MATCH(LARGE('03_组合库'!$V$2:$V$37,2),'03_组合库'!$V$2:$V$37,0))</f>
        <v>2024 PHB</v>
      </c>
      <c r="E9" s="2" t="str">
        <f>INDEX('03_组合库'!$K$2:$K$37,MATCH(LARGE('03_组合库'!$V$2:$V$37,2),'03_组合库'!$V$2:$V$37,0))</f>
        <v>Elf</v>
      </c>
      <c r="F9" s="2" t="str">
        <f>INDEX('03_组合库'!$L$2:$L$37,MATCH(LARGE('03_组合库'!$V$2:$V$37,2),'03_组合库'!$V$2:$V$37,0))</f>
        <v>Rogue</v>
      </c>
      <c r="G9" s="2" t="str">
        <f>INDEX('03_组合库'!$M$2:$M$37,MATCH(LARGE('03_组合库'!$V$2:$V$37,2),'03_组合库'!$V$2:$V$37,0))</f>
        <v>Soulknife</v>
      </c>
      <c r="H9" s="2" t="str">
        <f>INDEX('03_组合库'!$N$2:$N$37,MATCH(LARGE('03_组合库'!$V$2:$V$37,2),'03_组合库'!$V$2:$V$37,0))</f>
        <v>Criminal</v>
      </c>
      <c r="I9" s="2" t="str">
        <f>INDEX('03_组合库'!$O$2:$O$37,MATCH(LARGE('03_组合库'!$V$2:$V$37,2),'03_组合库'!$V$2:$V$37,0))</f>
        <v>Alert</v>
      </c>
      <c r="J9" s="2" t="str">
        <f>INDEX('03_组合库'!$Q$2:$Q$37,MATCH(LARGE('03_组合库'!$V$2:$V$37,2),'03_组合库'!$V$2:$V$37,0))</f>
        <v>用技能稳定性和灵能刀刃完成潜入、侦查和关键击杀。</v>
      </c>
      <c r="K9" s="2" t="str">
        <f>INDEX('03_组合库'!$S$2:$S$37,MATCH(LARGE('03_组合库'!$V$2:$V$37,2),'03_组合库'!$V$2:$V$37,0))&amp;" / "&amp;INDEX('03_组合库'!$T$2:$T$37,MATCH(LARGE('03_组合库'!$V$2:$V$37,2),'03_组合库'!$V$2:$V$37,0))</f>
        <v>正面AOE弱。 / 纯2024核心规则。</v>
      </c>
    </row>
    <row r="10" ht="15" customHeight="1" spans="1:11">
      <c r="A10" s="2">
        <f>3</f>
        <v>3</v>
      </c>
      <c r="B10" s="3">
        <f>LARGE('03_组合库'!$V$2:$V$37,3)</f>
        <v>55.02</v>
      </c>
      <c r="C10" s="2" t="str">
        <f>INDEX('03_组合库'!$C$2:$C$37,MATCH(LARGE('03_组合库'!$V$2:$V$37,3),'03_组合库'!$V$2:$V$37,0))</f>
        <v>龙血术士：Dragonborn Draconic Sorcery</v>
      </c>
      <c r="D10" s="2" t="str">
        <f>INDEX('03_组合库'!$J$2:$J$37,MATCH(LARGE('03_组合库'!$V$2:$V$37,3),'03_组合库'!$V$2:$V$37,0))</f>
        <v>2024 PHB</v>
      </c>
      <c r="E10" s="2" t="str">
        <f>INDEX('03_组合库'!$K$2:$K$37,MATCH(LARGE('03_组合库'!$V$2:$V$37,3),'03_组合库'!$V$2:$V$37,0))</f>
        <v>Dragonborn</v>
      </c>
      <c r="F10" s="2" t="str">
        <f>INDEX('03_组合库'!$L$2:$L$37,MATCH(LARGE('03_组合库'!$V$2:$V$37,3),'03_组合库'!$V$2:$V$37,0))</f>
        <v>Sorcerer</v>
      </c>
      <c r="G10" s="2" t="str">
        <f>INDEX('03_组合库'!$M$2:$M$37,MATCH(LARGE('03_组合库'!$V$2:$V$37,3),'03_组合库'!$V$2:$V$37,0))</f>
        <v>Draconic Sorcery</v>
      </c>
      <c r="H10" s="2" t="str">
        <f>INDEX('03_组合库'!$N$2:$N$37,MATCH(LARGE('03_组合库'!$V$2:$V$37,3),'03_组合库'!$V$2:$V$37,0))</f>
        <v>Noble</v>
      </c>
      <c r="I10" s="2" t="str">
        <f>INDEX('03_组合库'!$O$2:$O$37,MATCH(LARGE('03_组合库'!$V$2:$V$37,3),'03_组合库'!$V$2:$V$37,0))</f>
        <v>Skilled</v>
      </c>
      <c r="J10" s="2" t="str">
        <f>INDEX('03_组合库'!$Q$2:$Q$37,MATCH(LARGE('03_组合库'!$V$2:$V$37,3),'03_组合库'!$V$2:$V$37,0))</f>
        <v>用少量核心法术和Metamagic制造爆发，社交场合也有地位。</v>
      </c>
      <c r="K10" s="2" t="str">
        <f>INDEX('03_组合库'!$S$2:$S$37,MATCH(LARGE('03_组合库'!$V$2:$V$37,3),'03_组合库'!$V$2:$V$37,0))&amp;" / "&amp;INDEX('03_组合库'!$T$2:$T$37,MATCH(LARGE('03_组合库'!$V$2:$V$37,3),'03_组合库'!$V$2:$V$37,0))</f>
        <v>法术选错会影响体验。 / 纯2024核心规则。</v>
      </c>
    </row>
    <row r="11" ht="15" customHeight="1" spans="1:11">
      <c r="A11" s="2">
        <f>4</f>
        <v>4</v>
      </c>
      <c r="B11" s="3">
        <f>LARGE('03_组合库'!$V$2:$V$37,4)</f>
        <v>55.019</v>
      </c>
      <c r="C11" s="2" t="str">
        <f>INDEX('03_组合库'!$C$2:$C$37,MATCH(LARGE('03_组合库'!$V$2:$V$37,4),'03_组合库'!$V$2:$V$37,0))</f>
        <v>慈悲行者：Human Mercy Monk</v>
      </c>
      <c r="D11" s="2" t="str">
        <f>INDEX('03_组合库'!$J$2:$J$37,MATCH(LARGE('03_组合库'!$V$2:$V$37,4),'03_组合库'!$V$2:$V$37,0))</f>
        <v>2024 PHB</v>
      </c>
      <c r="E11" s="2" t="str">
        <f>INDEX('03_组合库'!$K$2:$K$37,MATCH(LARGE('03_组合库'!$V$2:$V$37,4),'03_组合库'!$V$2:$V$37,0))</f>
        <v>Human</v>
      </c>
      <c r="F11" s="2" t="str">
        <f>INDEX('03_组合库'!$L$2:$L$37,MATCH(LARGE('03_组合库'!$V$2:$V$37,4),'03_组合库'!$V$2:$V$37,0))</f>
        <v>Monk</v>
      </c>
      <c r="G11" s="2" t="str">
        <f>INDEX('03_组合库'!$M$2:$M$37,MATCH(LARGE('03_组合库'!$V$2:$V$37,4),'03_组合库'!$V$2:$V$37,0))</f>
        <v>Warrior of Mercy</v>
      </c>
      <c r="H11" s="2" t="str">
        <f>INDEX('03_组合库'!$N$2:$N$37,MATCH(LARGE('03_组合库'!$V$2:$V$37,4),'03_组合库'!$V$2:$V$37,0))</f>
        <v>Hermit</v>
      </c>
      <c r="I11" s="2" t="str">
        <f>INDEX('03_组合库'!$O$2:$O$37,MATCH(LARGE('03_组合库'!$V$2:$V$37,4),'03_组合库'!$V$2:$V$37,0))</f>
        <v>Healer</v>
      </c>
      <c r="J11" s="2" t="str">
        <f>INDEX('03_组合库'!$Q$2:$Q$37,MATCH(LARGE('03_组合库'!$V$2:$V$37,4),'03_组合库'!$V$2:$V$37,0))</f>
        <v>机动近战，必要时用治疗/解除异常救队友。Human可额外拿Tough。</v>
      </c>
      <c r="K11" s="2" t="str">
        <f>INDEX('03_组合库'!$S$2:$S$37,MATCH(LARGE('03_组合库'!$V$2:$V$37,4),'03_组合库'!$V$2:$V$37,0))&amp;" / "&amp;INDEX('03_组合库'!$T$2:$T$37,MATCH(LARGE('03_组合库'!$V$2:$V$37,4),'03_组合库'!$V$2:$V$37,0))</f>
        <v>资源管理比普通武僧复杂。 / 纯2024核心规则。</v>
      </c>
    </row>
    <row r="12" ht="26.4" customHeight="1" spans="1:11">
      <c r="A12" s="2">
        <f>5</f>
        <v>5</v>
      </c>
      <c r="B12" s="3">
        <f>LARGE('03_组合库'!$V$2:$V$37,5)</f>
        <v>55.018</v>
      </c>
      <c r="C12" s="2" t="str">
        <f>INDEX('03_组合库'!$C$2:$C$37,MATCH(LARGE('03_组合库'!$V$2:$V$37,5),'03_组合库'!$V$2:$V$37,0))</f>
        <v>暗影拳师：Orc Shadow Monk</v>
      </c>
      <c r="D12" s="2" t="str">
        <f>INDEX('03_组合库'!$J$2:$J$37,MATCH(LARGE('03_组合库'!$V$2:$V$37,5),'03_组合库'!$V$2:$V$37,0))</f>
        <v>2024 PHB</v>
      </c>
      <c r="E12" s="2" t="str">
        <f>INDEX('03_组合库'!$K$2:$K$37,MATCH(LARGE('03_组合库'!$V$2:$V$37,5),'03_组合库'!$V$2:$V$37,0))</f>
        <v>Orc</v>
      </c>
      <c r="F12" s="2" t="str">
        <f>INDEX('03_组合库'!$L$2:$L$37,MATCH(LARGE('03_组合库'!$V$2:$V$37,5),'03_组合库'!$V$2:$V$37,0))</f>
        <v>Monk</v>
      </c>
      <c r="G12" s="2" t="str">
        <f>INDEX('03_组合库'!$M$2:$M$37,MATCH(LARGE('03_组合库'!$V$2:$V$37,5),'03_组合库'!$V$2:$V$37,0))</f>
        <v>Warrior of Shadow</v>
      </c>
      <c r="H12" s="2" t="str">
        <f>INDEX('03_组合库'!$N$2:$N$37,MATCH(LARGE('03_组合库'!$V$2:$V$37,5),'03_组合库'!$V$2:$V$37,0))</f>
        <v>Criminal</v>
      </c>
      <c r="I12" s="2" t="str">
        <f>INDEX('03_组合库'!$O$2:$O$37,MATCH(LARGE('03_组合库'!$V$2:$V$37,5),'03_组合库'!$V$2:$V$37,0))</f>
        <v>Alert</v>
      </c>
      <c r="J12" s="2" t="str">
        <f>INDEX('03_组合库'!$Q$2:$Q$37,MATCH(LARGE('03_组合库'!$V$2:$V$37,5),'03_组合库'!$V$2:$V$37,0))</f>
        <v>高机动潜入，抢先手，暗影手段接近/撤离。</v>
      </c>
      <c r="K12" s="2" t="str">
        <f>INDEX('03_组合库'!$S$2:$S$37,MATCH(LARGE('03_组合库'!$V$2:$V$37,5),'03_组合库'!$V$2:$V$37,0))&amp;" / "&amp;INDEX('03_组合库'!$T$2:$T$37,MATCH(LARGE('03_组合库'!$V$2:$V$37,5),'03_组合库'!$V$2:$V$37,0))</f>
        <v>别把自己当重甲前排。 / 纯2024核心规则。</v>
      </c>
    </row>
    <row r="13" ht="15" customHeight="1" spans="1:11">
      <c r="A13" s="2">
        <f>6</f>
        <v>6</v>
      </c>
      <c r="B13" s="3">
        <f>LARGE('03_组合库'!$V$2:$V$37,6)</f>
        <v>55.017</v>
      </c>
      <c r="C13" s="2" t="str">
        <f>INDEX('03_组合库'!$C$2:$C$37,MATCH(LARGE('03_组合库'!$V$2:$V$37,6),'03_组合库'!$V$2:$V$37,0))</f>
        <v>变形前排：Elf Moon Druid</v>
      </c>
      <c r="D13" s="2" t="str">
        <f>INDEX('03_组合库'!$J$2:$J$37,MATCH(LARGE('03_组合库'!$V$2:$V$37,6),'03_组合库'!$V$2:$V$37,0))</f>
        <v>2024 PHB</v>
      </c>
      <c r="E13" s="2" t="str">
        <f>INDEX('03_组合库'!$K$2:$K$37,MATCH(LARGE('03_组合库'!$V$2:$V$37,6),'03_组合库'!$V$2:$V$37,0))</f>
        <v>Elf</v>
      </c>
      <c r="F13" s="2" t="str">
        <f>INDEX('03_组合库'!$L$2:$L$37,MATCH(LARGE('03_组合库'!$V$2:$V$37,6),'03_组合库'!$V$2:$V$37,0))</f>
        <v>Druid</v>
      </c>
      <c r="G13" s="2" t="str">
        <f>INDEX('03_组合库'!$M$2:$M$37,MATCH(LARGE('03_组合库'!$V$2:$V$37,6),'03_组合库'!$V$2:$V$37,0))</f>
        <v>Circle of the Moon</v>
      </c>
      <c r="H13" s="2" t="str">
        <f>INDEX('03_组合库'!$N$2:$N$37,MATCH(LARGE('03_组合库'!$V$2:$V$37,6),'03_组合库'!$V$2:$V$37,0))</f>
        <v>Farmer</v>
      </c>
      <c r="I13" s="2" t="str">
        <f>INDEX('03_组合库'!$O$2:$O$37,MATCH(LARGE('03_组合库'!$V$2:$V$37,6),'03_组合库'!$V$2:$V$37,0))</f>
        <v>Tough</v>
      </c>
      <c r="J13" s="2" t="str">
        <f>INDEX('03_组合库'!$Q$2:$Q$37,MATCH(LARGE('03_组合库'!$V$2:$V$37,6),'03_组合库'!$V$2:$V$37,0))</f>
        <v>用Wild Shape承伤和探索，回到本体后施法支援。</v>
      </c>
      <c r="K13" s="2" t="str">
        <f>INDEX('03_组合库'!$S$2:$S$37,MATCH(LARGE('03_组合库'!$V$2:$V$37,6),'03_组合库'!$V$2:$V$37,0))&amp;" / "&amp;INDEX('03_组合库'!$T$2:$T$37,MATCH(LARGE('03_组合库'!$V$2:$V$37,6),'03_组合库'!$V$2:$V$37,0))</f>
        <v>需要知道变形能做什么/不能做什么。 / 纯2024核心规则。</v>
      </c>
    </row>
    <row r="14" ht="15" customHeight="1" spans="1:11">
      <c r="A14" s="2">
        <f>7</f>
        <v>7</v>
      </c>
      <c r="B14" s="3">
        <f>LARGE('03_组合库'!$V$2:$V$37,7)</f>
        <v>55.007</v>
      </c>
      <c r="C14" s="2" t="str">
        <f>INDEX('03_组合库'!$C$2:$C$37,MATCH(LARGE('03_组合库'!$V$2:$V$37,7),'03_组合库'!$V$2:$V$37,0))</f>
        <v>地下城猎手：Elf Gloom Stalker</v>
      </c>
      <c r="D14" s="2" t="str">
        <f>INDEX('03_组合库'!$J$2:$J$37,MATCH(LARGE('03_组合库'!$V$2:$V$37,7),'03_组合库'!$V$2:$V$37,0))</f>
        <v>2024 PHB</v>
      </c>
      <c r="E14" s="2" t="str">
        <f>INDEX('03_组合库'!$K$2:$K$37,MATCH(LARGE('03_组合库'!$V$2:$V$37,7),'03_组合库'!$V$2:$V$37,0))</f>
        <v>Elf</v>
      </c>
      <c r="F14" s="2" t="str">
        <f>INDEX('03_组合库'!$L$2:$L$37,MATCH(LARGE('03_组合库'!$V$2:$V$37,7),'03_组合库'!$V$2:$V$37,0))</f>
        <v>Ranger</v>
      </c>
      <c r="G14" s="2" t="str">
        <f>INDEX('03_组合库'!$M$2:$M$37,MATCH(LARGE('03_组合库'!$V$2:$V$37,7),'03_组合库'!$V$2:$V$37,0))</f>
        <v>Gloom Stalker</v>
      </c>
      <c r="H14" s="2" t="str">
        <f>INDEX('03_组合库'!$N$2:$N$37,MATCH(LARGE('03_组合库'!$V$2:$V$37,7),'03_组合库'!$V$2:$V$37,0))</f>
        <v>Guide</v>
      </c>
      <c r="I14" s="2" t="str">
        <f>INDEX('03_组合库'!$O$2:$O$37,MATCH(LARGE('03_组合库'!$V$2:$V$37,7),'03_组合库'!$V$2:$V$37,0))</f>
        <v>Magic Initiate (Druid)</v>
      </c>
      <c r="J14" s="2" t="str">
        <f>INDEX('03_组合库'!$Q$2:$Q$37,MATCH(LARGE('03_组合库'!$V$2:$V$37,7),'03_组合库'!$V$2:$V$37,0))</f>
        <v>侦查先行，开局抢节奏，Hunter's Mark与远程输出持续施压。</v>
      </c>
      <c r="K14" s="2" t="str">
        <f>INDEX('03_组合库'!$S$2:$S$37,MATCH(LARGE('03_组合库'!$V$2:$V$37,7),'03_组合库'!$V$2:$V$37,0))&amp;" / "&amp;INDEX('03_组合库'!$T$2:$T$37,MATCH(LARGE('03_组合库'!$V$2:$V$37,7),'03_组合库'!$V$2:$V$37,0))</f>
        <v>队伍若没人前排，别冲太远。 / 纯2024核心规则。</v>
      </c>
    </row>
    <row r="15" ht="26.4" customHeight="1" spans="1:11">
      <c r="A15" s="2">
        <f>8</f>
        <v>8</v>
      </c>
      <c r="B15" s="3">
        <f>LARGE('03_组合库'!$V$2:$V$37,8)</f>
        <v>50.024</v>
      </c>
      <c r="C15" s="2" t="str">
        <f>INDEX('03_组合库'!$C$2:$C$37,MATCH(LARGE('03_组合库'!$V$2:$V$37,8),'03_组合库'!$V$2:$V$37,0))</f>
        <v>奥法骑士：Dragonborn Eldritch Knight</v>
      </c>
      <c r="D15" s="2" t="str">
        <f>INDEX('03_组合库'!$J$2:$J$37,MATCH(LARGE('03_组合库'!$V$2:$V$37,8),'03_组合库'!$V$2:$V$37,0))</f>
        <v>2024 PHB</v>
      </c>
      <c r="E15" s="2" t="str">
        <f>INDEX('03_组合库'!$K$2:$K$37,MATCH(LARGE('03_组合库'!$V$2:$V$37,8),'03_组合库'!$V$2:$V$37,0))</f>
        <v>Dragonborn</v>
      </c>
      <c r="F15" s="2" t="str">
        <f>INDEX('03_组合库'!$L$2:$L$37,MATCH(LARGE('03_组合库'!$V$2:$V$37,8),'03_组合库'!$V$2:$V$37,0))</f>
        <v>Fighter</v>
      </c>
      <c r="G15" s="2" t="str">
        <f>INDEX('03_组合库'!$M$2:$M$37,MATCH(LARGE('03_组合库'!$V$2:$V$37,8),'03_组合库'!$V$2:$V$37,0))</f>
        <v>Eldritch Knight</v>
      </c>
      <c r="H15" s="2" t="str">
        <f>INDEX('03_组合库'!$N$2:$N$37,MATCH(LARGE('03_组合库'!$V$2:$V$37,8),'03_组合库'!$V$2:$V$37,0))</f>
        <v>Artisan</v>
      </c>
      <c r="I15" s="2" t="str">
        <f>INDEX('03_组合库'!$O$2:$O$37,MATCH(LARGE('03_组合库'!$V$2:$V$37,8),'03_组合库'!$V$2:$V$37,0))</f>
        <v>Crafter</v>
      </c>
      <c r="J15" s="2" t="str">
        <f>INDEX('03_组合库'!$Q$2:$Q$37,MATCH(LARGE('03_组合库'!$V$2:$V$37,8),'03_组合库'!$V$2:$V$37,0))</f>
        <v>武器输出为主，法术补防御/功能；工具和工匠背景增加真实感。</v>
      </c>
      <c r="K15" s="2" t="str">
        <f>INDEX('03_组合库'!$S$2:$S$37,MATCH(LARGE('03_组合库'!$V$2:$V$37,8),'03_组合库'!$V$2:$V$37,0))&amp;" / "&amp;INDEX('03_组合库'!$T$2:$T$37,MATCH(LARGE('03_组合库'!$V$2:$V$37,8),'03_组合库'!$V$2:$V$37,0))</f>
        <v>如果只想平A，Champion更省心。 / 纯2024核心规则。</v>
      </c>
    </row>
    <row r="16" ht="26.4" customHeight="1" spans="1:11">
      <c r="A16" s="2">
        <f>9</f>
        <v>9</v>
      </c>
      <c r="B16" s="3">
        <f>LARGE('03_组合库'!$V$2:$V$37,9)</f>
        <v>50.021</v>
      </c>
      <c r="C16" s="2" t="str">
        <f>INDEX('03_组合库'!$C$2:$C$37,MATCH(LARGE('03_组合库'!$V$2:$V$37,9),'03_组合库'!$V$2:$V$37,0))</f>
        <v>混沌演员：Tiefling Wild Magic Sorcerer</v>
      </c>
      <c r="D16" s="2" t="str">
        <f>INDEX('03_组合库'!$J$2:$J$37,MATCH(LARGE('03_组合库'!$V$2:$V$37,9),'03_组合库'!$V$2:$V$37,0))</f>
        <v>2024 PHB</v>
      </c>
      <c r="E16" s="2" t="str">
        <f>INDEX('03_组合库'!$K$2:$K$37,MATCH(LARGE('03_组合库'!$V$2:$V$37,9),'03_组合库'!$V$2:$V$37,0))</f>
        <v>Tiefling</v>
      </c>
      <c r="F16" s="2" t="str">
        <f>INDEX('03_组合库'!$L$2:$L$37,MATCH(LARGE('03_组合库'!$V$2:$V$37,9),'03_组合库'!$V$2:$V$37,0))</f>
        <v>Sorcerer</v>
      </c>
      <c r="G16" s="2" t="str">
        <f>INDEX('03_组合库'!$M$2:$M$37,MATCH(LARGE('03_组合库'!$V$2:$V$37,9),'03_组合库'!$V$2:$V$37,0))</f>
        <v>Wild Magic Sorcery</v>
      </c>
      <c r="H16" s="2" t="str">
        <f>INDEX('03_组合库'!$N$2:$N$37,MATCH(LARGE('03_组合库'!$V$2:$V$37,9),'03_组合库'!$V$2:$V$37,0))</f>
        <v>Charlatan</v>
      </c>
      <c r="I16" s="2" t="str">
        <f>INDEX('03_组合库'!$O$2:$O$37,MATCH(LARGE('03_组合库'!$V$2:$V$37,9),'03_组合库'!$V$2:$V$37,0))</f>
        <v>Skilled</v>
      </c>
      <c r="J16" s="2" t="str">
        <f>INDEX('03_组合库'!$Q$2:$Q$37,MATCH(LARGE('03_组合库'!$V$2:$V$37,9),'03_组合库'!$V$2:$V$37,0))</f>
        <v>用法术和随机性制造戏剧效果，技能处理社交骗局。</v>
      </c>
      <c r="K16" s="2" t="str">
        <f>INDEX('03_组合库'!$S$2:$S$37,MATCH(LARGE('03_组合库'!$V$2:$V$37,9),'03_组合库'!$V$2:$V$37,0))&amp;" / "&amp;INDEX('03_组合库'!$T$2:$T$37,MATCH(LARGE('03_组合库'!$V$2:$V$37,9),'03_组合库'!$V$2:$V$37,0))</f>
        <v>不适合严肃硬核优化局。 / 纯2024核心规则。</v>
      </c>
    </row>
    <row r="17" ht="26.4" customHeight="1" spans="1:11">
      <c r="A17" s="2">
        <f>10</f>
        <v>10</v>
      </c>
      <c r="B17" s="3">
        <f>LARGE('03_组合库'!$V$2:$V$37,10)</f>
        <v>50.016</v>
      </c>
      <c r="C17" s="2" t="str">
        <f>INDEX('03_组合库'!$C$2:$C$37,MATCH(LARGE('03_组合库'!$V$2:$V$37,10),'03_组合库'!$V$2:$V$37,0))</f>
        <v>自然万金油：Human Circle of Stars Druid</v>
      </c>
      <c r="D17" s="2" t="str">
        <f>INDEX('03_组合库'!$J$2:$J$37,MATCH(LARGE('03_组合库'!$V$2:$V$37,10),'03_组合库'!$V$2:$V$37,0))</f>
        <v>2024 PHB</v>
      </c>
      <c r="E17" s="2" t="str">
        <f>INDEX('03_组合库'!$K$2:$K$37,MATCH(LARGE('03_组合库'!$V$2:$V$37,10),'03_组合库'!$V$2:$V$37,0))</f>
        <v>Human</v>
      </c>
      <c r="F17" s="2" t="str">
        <f>INDEX('03_组合库'!$L$2:$L$37,MATCH(LARGE('03_组合库'!$V$2:$V$37,10),'03_组合库'!$V$2:$V$37,0))</f>
        <v>Druid</v>
      </c>
      <c r="G17" s="2" t="str">
        <f>INDEX('03_组合库'!$M$2:$M$37,MATCH(LARGE('03_组合库'!$V$2:$V$37,10),'03_组合库'!$V$2:$V$37,0))</f>
        <v>Circle of the Stars</v>
      </c>
      <c r="H17" s="2" t="str">
        <f>INDEX('03_组合库'!$N$2:$N$37,MATCH(LARGE('03_组合库'!$V$2:$V$37,10),'03_组合库'!$V$2:$V$37,0))</f>
        <v>Guide</v>
      </c>
      <c r="I17" s="2" t="str">
        <f>INDEX('03_组合库'!$O$2:$O$37,MATCH(LARGE('03_组合库'!$V$2:$V$37,10),'03_组合库'!$V$2:$V$37,0))</f>
        <v>Magic Initiate (Druid)</v>
      </c>
      <c r="J17" s="2" t="str">
        <f>INDEX('03_组合库'!$Q$2:$Q$37,MATCH(LARGE('03_组合库'!$V$2:$V$37,10),'03_组合库'!$V$2:$V$37,0))</f>
        <v>探索时用生存和自然法术；战斗中星象形态+控场/治疗切换。</v>
      </c>
      <c r="K17" s="2" t="str">
        <f>INDEX('03_组合库'!$S$2:$S$37,MATCH(LARGE('03_组合库'!$V$2:$V$37,10),'03_组合库'!$V$2:$V$37,0))&amp;" / "&amp;INDEX('03_组合库'!$T$2:$T$37,MATCH(LARGE('03_组合库'!$V$2:$V$37,10),'03_组合库'!$V$2:$V$37,0))</f>
        <v>要管理准备法术。 / 纯2024核心规则。</v>
      </c>
    </row>
    <row r="19" ht="26.4" customHeight="1" spans="1:11">
      <c r="A19" s="5" t="s">
        <v>120</v>
      </c>
    </row>
    <row r="20" ht="303.6" customHeight="1" spans="1:11">
      <c r="A20" s="6" t="s">
        <v>121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5" customHeight="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5" customHeight="1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5" customHeight="1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ht="15" customHeight="1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</sheetData>
  <mergeCells count="3">
    <mergeCell ref="A1:K1"/>
    <mergeCell ref="A19:K19"/>
    <mergeCell ref="A20:K24"/>
  </mergeCells>
  <conditionalFormatting sqref="B8:B17">
    <cfRule type="dataBar" priority="1">
      <dataBar>
        <cfvo type="min"/>
        <cfvo type="max"/>
        <color rgb="FF486B45"/>
      </dataBar>
      <extLst>
        <ext xmlns:x14="http://schemas.microsoft.com/office/spreadsheetml/2009/9/main" uri="{B025F937-C7B1-47D3-B67F-A62EFF666E3E}">
          <x14:id>{4ff32fe5-3464-4d2b-a0e5-55fc43dc4042}</x14:id>
        </ext>
      </extLst>
    </cfRule>
  </conditionalFormatting>
  <conditionalFormatting sqref="D8:D17">
    <cfRule type="expression" dxfId="0" priority="2">
      <formula>ISNUMBER(SEARCH("Legacy",D8))</formula>
    </cfRule>
    <cfRule type="expression" dxfId="1" priority="3">
      <formula>ISNUMBER(SEARCH("Forgotten Realms",D8))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32fe5-3464-4d2b-a0e5-55fc43dc404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B8:B17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opLeftCell="A30" workbookViewId="0">
      <selection activeCell="A1" sqref="A1"/>
    </sheetView>
  </sheetViews>
  <sheetFormatPr defaultColWidth="9" defaultRowHeight="16.8"/>
  <cols>
    <col min="1" max="1" width="8" customWidth="1"/>
    <col min="2" max="2" width="14" customWidth="1"/>
    <col min="3" max="3" width="30" customWidth="1"/>
    <col min="4" max="4" width="16" customWidth="1"/>
    <col min="5" max="5" width="14" customWidth="1"/>
    <col min="6" max="8" width="22" customWidth="1"/>
    <col min="9" max="9" width="14" customWidth="1"/>
    <col min="10" max="10" width="34" customWidth="1"/>
    <col min="11" max="12" width="18" customWidth="1"/>
    <col min="13" max="13" width="32" customWidth="1"/>
    <col min="14" max="14" width="22" customWidth="1"/>
    <col min="15" max="15" width="26" customWidth="1"/>
    <col min="16" max="16" width="28" customWidth="1"/>
    <col min="17" max="17" width="58" customWidth="1"/>
    <col min="18" max="19" width="46" customWidth="1"/>
    <col min="20" max="20" width="58" customWidth="1"/>
    <col min="21" max="21" width="28" customWidth="1"/>
    <col min="22" max="22" width="14" customWidth="1"/>
    <col min="23" max="23" width="52" customWidth="1"/>
  </cols>
  <sheetData>
    <row r="1" ht="15" customHeight="1" spans="1:23">
      <c r="A1" s="1" t="s">
        <v>122</v>
      </c>
      <c r="B1" s="1" t="s">
        <v>123</v>
      </c>
      <c r="C1" s="1" t="s">
        <v>111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130</v>
      </c>
      <c r="Q1" s="1" t="s">
        <v>118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</row>
    <row r="2" ht="26.4" customHeight="1" spans="1:23">
      <c r="A2" s="2">
        <v>1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  <c r="G2" s="2" t="s">
        <v>142</v>
      </c>
      <c r="H2" s="2" t="s">
        <v>143</v>
      </c>
      <c r="I2" s="2" t="s">
        <v>41</v>
      </c>
      <c r="J2" s="2" t="s">
        <v>144</v>
      </c>
      <c r="K2" s="2" t="s">
        <v>145</v>
      </c>
      <c r="L2" s="2" t="s">
        <v>146</v>
      </c>
      <c r="M2" s="2" t="s">
        <v>147</v>
      </c>
      <c r="N2" s="2" t="s">
        <v>148</v>
      </c>
      <c r="O2" s="2" t="s">
        <v>149</v>
      </c>
      <c r="P2" s="2" t="s">
        <v>150</v>
      </c>
      <c r="Q2" s="2" t="s">
        <v>151</v>
      </c>
      <c r="R2" s="2" t="s">
        <v>152</v>
      </c>
      <c r="S2" s="2" t="s">
        <v>153</v>
      </c>
      <c r="T2" s="2" t="s">
        <v>154</v>
      </c>
      <c r="U2" s="2" t="s">
        <v>155</v>
      </c>
      <c r="V2" s="3">
        <f>IFERROR(IF(ISNUMBER(SEARCH('01_玩家问卷'!$B$4,D2)),20,0)+IF(ISNUMBER(SEARCH('01_玩家问卷'!$B$5,E2)),15,0)+IF(ISNUMBER(SEARCH('01_玩家问卷'!$B$7,F2)),15,0)+IF(ISNUMBER(SEARCH('01_玩家问卷'!$B$8,G2)),15,0)+IF(ISNUMBER(SEARCH('01_玩家问卷'!$B$9,H2)),15,0)+IF(I2='01_玩家问卷'!$B$6,10,IF(AND('01_玩家问卷'!$B$6="Low",I2="Medium"),5,IF(AND('01_玩家问卷'!$B$6="High",I2="Medium"),8,0)))+IF(AND('01_玩家问卷'!$B$10="2024 Core Only",J2&lt;&gt;"2024 PHB"),-40,IF(AND('01_玩家问卷'!$B$10="2024 + 2024 Expansions",ISNUMBER(SEARCH("Legacy",J2))),-50,0))+IF(AND('01_玩家问卷'!$B$11="No",ISNUMBER(SEARCH("Faerûn",J2))),-25,0)+IF(AND('01_玩家问卷'!$B$12&lt;&gt;"None",ISNUMBER(SEARCH('01_玩家问卷'!$B$12,U2))),-25,0)+ROW()/1000,0)</f>
        <v>10.002</v>
      </c>
      <c r="W2" s="2"/>
    </row>
    <row r="3" ht="26.4" customHeight="1" spans="1:23">
      <c r="A3" s="2">
        <v>2</v>
      </c>
      <c r="B3" s="2" t="s">
        <v>137</v>
      </c>
      <c r="C3" s="2" t="s">
        <v>156</v>
      </c>
      <c r="D3" s="2" t="s">
        <v>157</v>
      </c>
      <c r="E3" s="2" t="s">
        <v>158</v>
      </c>
      <c r="F3" s="2" t="s">
        <v>159</v>
      </c>
      <c r="G3" s="2" t="s">
        <v>160</v>
      </c>
      <c r="H3" s="2" t="s">
        <v>161</v>
      </c>
      <c r="I3" s="2" t="s">
        <v>90</v>
      </c>
      <c r="J3" s="2" t="s">
        <v>144</v>
      </c>
      <c r="K3" s="2" t="s">
        <v>145</v>
      </c>
      <c r="L3" s="2" t="s">
        <v>146</v>
      </c>
      <c r="M3" s="2" t="s">
        <v>162</v>
      </c>
      <c r="N3" s="2" t="s">
        <v>163</v>
      </c>
      <c r="O3" s="2" t="s">
        <v>164</v>
      </c>
      <c r="P3" s="2" t="s">
        <v>165</v>
      </c>
      <c r="Q3" s="2" t="s">
        <v>166</v>
      </c>
      <c r="R3" s="2" t="s">
        <v>167</v>
      </c>
      <c r="S3" s="2" t="s">
        <v>168</v>
      </c>
      <c r="T3" s="2" t="s">
        <v>154</v>
      </c>
      <c r="U3" s="2" t="s">
        <v>155</v>
      </c>
      <c r="V3" s="3">
        <f>IFERROR(IF(ISNUMBER(SEARCH('01_玩家问卷'!$B$4,D3)),20,0)+IF(ISNUMBER(SEARCH('01_玩家问卷'!$B$5,E3)),15,0)+IF(ISNUMBER(SEARCH('01_玩家问卷'!$B$7,F3)),15,0)+IF(ISNUMBER(SEARCH('01_玩家问卷'!$B$8,G3)),15,0)+IF(ISNUMBER(SEARCH('01_玩家问卷'!$B$9,H3)),15,0)+IF(I3='01_玩家问卷'!$B$6,10,IF(AND('01_玩家问卷'!$B$6="Low",I3="Medium"),5,IF(AND('01_玩家问卷'!$B$6="High",I3="Medium"),8,0)))+IF(AND('01_玩家问卷'!$B$10="2024 Core Only",J3&lt;&gt;"2024 PHB"),-40,IF(AND('01_玩家问卷'!$B$10="2024 + 2024 Expansions",ISNUMBER(SEARCH("Legacy",J3))),-50,0))+IF(AND('01_玩家问卷'!$B$11="No",ISNUMBER(SEARCH("Faerûn",J3))),-25,0)+IF(AND('01_玩家问卷'!$B$12&lt;&gt;"None",ISNUMBER(SEARCH('01_玩家问卷'!$B$12,U3))),-25,0)+ROW()/1000,0)</f>
        <v>40.003</v>
      </c>
      <c r="W3" s="2"/>
    </row>
    <row r="4" ht="26.4" customHeight="1" spans="1:23">
      <c r="A4" s="2">
        <v>3</v>
      </c>
      <c r="B4" s="2" t="s">
        <v>137</v>
      </c>
      <c r="C4" s="2" t="s">
        <v>169</v>
      </c>
      <c r="D4" s="2" t="s">
        <v>170</v>
      </c>
      <c r="E4" s="2" t="s">
        <v>140</v>
      </c>
      <c r="F4" s="2" t="s">
        <v>171</v>
      </c>
      <c r="G4" s="2" t="s">
        <v>172</v>
      </c>
      <c r="H4" s="2" t="s">
        <v>143</v>
      </c>
      <c r="I4" s="2" t="s">
        <v>41</v>
      </c>
      <c r="J4" s="2" t="s">
        <v>144</v>
      </c>
      <c r="K4" s="2" t="s">
        <v>173</v>
      </c>
      <c r="L4" s="2" t="s">
        <v>174</v>
      </c>
      <c r="M4" s="2" t="s">
        <v>175</v>
      </c>
      <c r="N4" s="2" t="s">
        <v>176</v>
      </c>
      <c r="O4" s="2" t="s">
        <v>177</v>
      </c>
      <c r="P4" s="2" t="s">
        <v>178</v>
      </c>
      <c r="Q4" s="2" t="s">
        <v>179</v>
      </c>
      <c r="R4" s="2" t="s">
        <v>180</v>
      </c>
      <c r="S4" s="2" t="s">
        <v>181</v>
      </c>
      <c r="T4" s="2" t="s">
        <v>154</v>
      </c>
      <c r="U4" s="2" t="s">
        <v>155</v>
      </c>
      <c r="V4" s="3">
        <f>IFERROR(IF(ISNUMBER(SEARCH('01_玩家问卷'!$B$4,D4)),20,0)+IF(ISNUMBER(SEARCH('01_玩家问卷'!$B$5,E4)),15,0)+IF(ISNUMBER(SEARCH('01_玩家问卷'!$B$7,F4)),15,0)+IF(ISNUMBER(SEARCH('01_玩家问卷'!$B$8,G4)),15,0)+IF(ISNUMBER(SEARCH('01_玩家问卷'!$B$9,H4)),15,0)+IF(I4='01_玩家问卷'!$B$6,10,IF(AND('01_玩家问卷'!$B$6="Low",I4="Medium"),5,IF(AND('01_玩家问卷'!$B$6="High",I4="Medium"),8,0)))+IF(AND('01_玩家问卷'!$B$10="2024 Core Only",J4&lt;&gt;"2024 PHB"),-40,IF(AND('01_玩家问卷'!$B$10="2024 + 2024 Expansions",ISNUMBER(SEARCH("Legacy",J4))),-50,0))+IF(AND('01_玩家问卷'!$B$11="No",ISNUMBER(SEARCH("Faerûn",J4))),-25,0)+IF(AND('01_玩家问卷'!$B$12&lt;&gt;"None",ISNUMBER(SEARCH('01_玩家问卷'!$B$12,U4))),-25,0)+ROW()/1000,0)</f>
        <v>30.004</v>
      </c>
      <c r="W4" s="2"/>
    </row>
    <row r="5" ht="26.4" customHeight="1" spans="1:23">
      <c r="A5" s="2">
        <v>4</v>
      </c>
      <c r="B5" s="2" t="s">
        <v>137</v>
      </c>
      <c r="C5" s="2" t="s">
        <v>182</v>
      </c>
      <c r="D5" s="2" t="s">
        <v>170</v>
      </c>
      <c r="E5" s="2" t="s">
        <v>183</v>
      </c>
      <c r="F5" s="2" t="s">
        <v>184</v>
      </c>
      <c r="G5" s="2" t="s">
        <v>185</v>
      </c>
      <c r="H5" s="2" t="s">
        <v>186</v>
      </c>
      <c r="I5" s="2" t="s">
        <v>90</v>
      </c>
      <c r="J5" s="2" t="s">
        <v>144</v>
      </c>
      <c r="K5" s="2" t="s">
        <v>187</v>
      </c>
      <c r="L5" s="2" t="s">
        <v>188</v>
      </c>
      <c r="M5" s="2" t="s">
        <v>189</v>
      </c>
      <c r="N5" s="2" t="s">
        <v>190</v>
      </c>
      <c r="O5" s="2" t="s">
        <v>191</v>
      </c>
      <c r="P5" s="2" t="s">
        <v>192</v>
      </c>
      <c r="Q5" s="2" t="s">
        <v>193</v>
      </c>
      <c r="R5" s="2" t="s">
        <v>194</v>
      </c>
      <c r="S5" s="2" t="s">
        <v>195</v>
      </c>
      <c r="T5" s="2" t="s">
        <v>154</v>
      </c>
      <c r="U5" s="2" t="s">
        <v>155</v>
      </c>
      <c r="V5" s="3">
        <f>IFERROR(IF(ISNUMBER(SEARCH('01_玩家问卷'!$B$4,D5)),20,0)+IF(ISNUMBER(SEARCH('01_玩家问卷'!$B$5,E5)),15,0)+IF(ISNUMBER(SEARCH('01_玩家问卷'!$B$7,F5)),15,0)+IF(ISNUMBER(SEARCH('01_玩家问卷'!$B$8,G5)),15,0)+IF(ISNUMBER(SEARCH('01_玩家问卷'!$B$9,H5)),15,0)+IF(I5='01_玩家问卷'!$B$6,10,IF(AND('01_玩家问卷'!$B$6="Low",I5="Medium"),5,IF(AND('01_玩家问卷'!$B$6="High",I5="Medium"),8,0)))+IF(AND('01_玩家问卷'!$B$10="2024 Core Only",J5&lt;&gt;"2024 PHB"),-40,IF(AND('01_玩家问卷'!$B$10="2024 + 2024 Expansions",ISNUMBER(SEARCH("Legacy",J5))),-50,0))+IF(AND('01_玩家问卷'!$B$11="No",ISNUMBER(SEARCH("Faerûn",J5))),-25,0)+IF(AND('01_玩家问卷'!$B$12&lt;&gt;"None",ISNUMBER(SEARCH('01_玩家问卷'!$B$12,U5))),-25,0)+ROW()/1000,0)</f>
        <v>40.005</v>
      </c>
      <c r="W5" s="2"/>
    </row>
    <row r="6" ht="26.4" customHeight="1" spans="1:23">
      <c r="A6" s="2">
        <v>5</v>
      </c>
      <c r="B6" s="2" t="s">
        <v>137</v>
      </c>
      <c r="C6" s="2" t="s">
        <v>196</v>
      </c>
      <c r="D6" s="2" t="s">
        <v>157</v>
      </c>
      <c r="E6" s="2" t="s">
        <v>158</v>
      </c>
      <c r="F6" s="2" t="s">
        <v>197</v>
      </c>
      <c r="G6" s="2" t="s">
        <v>198</v>
      </c>
      <c r="H6" s="2" t="s">
        <v>199</v>
      </c>
      <c r="I6" s="2" t="s">
        <v>90</v>
      </c>
      <c r="J6" s="2" t="s">
        <v>144</v>
      </c>
      <c r="K6" s="2" t="s">
        <v>200</v>
      </c>
      <c r="L6" s="2" t="s">
        <v>188</v>
      </c>
      <c r="M6" s="2" t="s">
        <v>201</v>
      </c>
      <c r="N6" s="2" t="s">
        <v>163</v>
      </c>
      <c r="O6" s="2" t="s">
        <v>164</v>
      </c>
      <c r="P6" s="2" t="s">
        <v>192</v>
      </c>
      <c r="Q6" s="2" t="s">
        <v>202</v>
      </c>
      <c r="R6" s="2" t="s">
        <v>203</v>
      </c>
      <c r="S6" s="2" t="s">
        <v>204</v>
      </c>
      <c r="T6" s="2" t="s">
        <v>154</v>
      </c>
      <c r="U6" s="2" t="s">
        <v>155</v>
      </c>
      <c r="V6" s="3">
        <f>IFERROR(IF(ISNUMBER(SEARCH('01_玩家问卷'!$B$4,D6)),20,0)+IF(ISNUMBER(SEARCH('01_玩家问卷'!$B$5,E6)),15,0)+IF(ISNUMBER(SEARCH('01_玩家问卷'!$B$7,F6)),15,0)+IF(ISNUMBER(SEARCH('01_玩家问卷'!$B$8,G6)),15,0)+IF(ISNUMBER(SEARCH('01_玩家问卷'!$B$9,H6)),15,0)+IF(I6='01_玩家问卷'!$B$6,10,IF(AND('01_玩家问卷'!$B$6="Low",I6="Medium"),5,IF(AND('01_玩家问卷'!$B$6="High",I6="Medium"),8,0)))+IF(AND('01_玩家问卷'!$B$10="2024 Core Only",J6&lt;&gt;"2024 PHB"),-40,IF(AND('01_玩家问卷'!$B$10="2024 + 2024 Expansions",ISNUMBER(SEARCH("Legacy",J6))),-50,0))+IF(AND('01_玩家问卷'!$B$11="No",ISNUMBER(SEARCH("Faerûn",J6))),-25,0)+IF(AND('01_玩家问卷'!$B$12&lt;&gt;"None",ISNUMBER(SEARCH('01_玩家问卷'!$B$12,U6))),-25,0)+ROW()/1000,0)</f>
        <v>40.006</v>
      </c>
      <c r="W6" s="2"/>
    </row>
    <row r="7" ht="26.4" customHeight="1" spans="1:23">
      <c r="A7" s="2">
        <v>6</v>
      </c>
      <c r="B7" s="2" t="s">
        <v>137</v>
      </c>
      <c r="C7" s="2" t="s">
        <v>205</v>
      </c>
      <c r="D7" s="2" t="s">
        <v>170</v>
      </c>
      <c r="E7" s="2" t="s">
        <v>158</v>
      </c>
      <c r="F7" s="2" t="s">
        <v>206</v>
      </c>
      <c r="G7" s="2" t="s">
        <v>207</v>
      </c>
      <c r="H7" s="2" t="s">
        <v>208</v>
      </c>
      <c r="I7" s="2" t="s">
        <v>90</v>
      </c>
      <c r="J7" s="2" t="s">
        <v>144</v>
      </c>
      <c r="K7" s="2" t="s">
        <v>209</v>
      </c>
      <c r="L7" s="2" t="s">
        <v>210</v>
      </c>
      <c r="M7" s="2" t="s">
        <v>211</v>
      </c>
      <c r="N7" s="2" t="s">
        <v>212</v>
      </c>
      <c r="O7" s="2" t="s">
        <v>213</v>
      </c>
      <c r="P7" s="2" t="s">
        <v>214</v>
      </c>
      <c r="Q7" s="2" t="s">
        <v>215</v>
      </c>
      <c r="R7" s="2" t="s">
        <v>216</v>
      </c>
      <c r="S7" s="2" t="s">
        <v>217</v>
      </c>
      <c r="T7" s="2" t="s">
        <v>154</v>
      </c>
      <c r="U7" s="2" t="s">
        <v>218</v>
      </c>
      <c r="V7" s="3">
        <f>IFERROR(IF(ISNUMBER(SEARCH('01_玩家问卷'!$B$4,D7)),20,0)+IF(ISNUMBER(SEARCH('01_玩家问卷'!$B$5,E7)),15,0)+IF(ISNUMBER(SEARCH('01_玩家问卷'!$B$7,F7)),15,0)+IF(ISNUMBER(SEARCH('01_玩家问卷'!$B$8,G7)),15,0)+IF(ISNUMBER(SEARCH('01_玩家问卷'!$B$9,H7)),15,0)+IF(I7='01_玩家问卷'!$B$6,10,IF(AND('01_玩家问卷'!$B$6="Low",I7="Medium"),5,IF(AND('01_玩家问卷'!$B$6="High",I7="Medium"),8,0)))+IF(AND('01_玩家问卷'!$B$10="2024 Core Only",J7&lt;&gt;"2024 PHB"),-40,IF(AND('01_玩家问卷'!$B$10="2024 + 2024 Expansions",ISNUMBER(SEARCH("Legacy",J7))),-50,0))+IF(AND('01_玩家问卷'!$B$11="No",ISNUMBER(SEARCH("Faerûn",J7))),-25,0)+IF(AND('01_玩家问卷'!$B$12&lt;&gt;"None",ISNUMBER(SEARCH('01_玩家问卷'!$B$12,U7))),-25,0)+ROW()/1000,0)</f>
        <v>55.007</v>
      </c>
      <c r="W7" s="2"/>
    </row>
    <row r="8" ht="15" customHeight="1" spans="1:23">
      <c r="A8" s="2">
        <v>7</v>
      </c>
      <c r="B8" s="2" t="s">
        <v>137</v>
      </c>
      <c r="C8" s="2" t="s">
        <v>219</v>
      </c>
      <c r="D8" s="2" t="s">
        <v>220</v>
      </c>
      <c r="E8" s="2" t="s">
        <v>221</v>
      </c>
      <c r="F8" s="2" t="s">
        <v>222</v>
      </c>
      <c r="G8" s="2" t="s">
        <v>223</v>
      </c>
      <c r="H8" s="2" t="s">
        <v>224</v>
      </c>
      <c r="I8" s="2" t="s">
        <v>41</v>
      </c>
      <c r="J8" s="2" t="s">
        <v>144</v>
      </c>
      <c r="K8" s="2" t="s">
        <v>225</v>
      </c>
      <c r="L8" s="2" t="s">
        <v>226</v>
      </c>
      <c r="M8" s="2" t="s">
        <v>227</v>
      </c>
      <c r="N8" s="2" t="s">
        <v>228</v>
      </c>
      <c r="O8" s="2" t="s">
        <v>229</v>
      </c>
      <c r="P8" s="2" t="s">
        <v>230</v>
      </c>
      <c r="Q8" s="2" t="s">
        <v>231</v>
      </c>
      <c r="R8" s="2" t="s">
        <v>232</v>
      </c>
      <c r="S8" s="2" t="s">
        <v>233</v>
      </c>
      <c r="T8" s="2" t="s">
        <v>154</v>
      </c>
      <c r="U8" s="2" t="s">
        <v>218</v>
      </c>
      <c r="V8" s="3">
        <f>IFERROR(IF(ISNUMBER(SEARCH('01_玩家问卷'!$B$4,D8)),20,0)+IF(ISNUMBER(SEARCH('01_玩家问卷'!$B$5,E8)),15,0)+IF(ISNUMBER(SEARCH('01_玩家问卷'!$B$7,F8)),15,0)+IF(ISNUMBER(SEARCH('01_玩家问卷'!$B$8,G8)),15,0)+IF(ISNUMBER(SEARCH('01_玩家问卷'!$B$9,H8)),15,0)+IF(I8='01_玩家问卷'!$B$6,10,IF(AND('01_玩家问卷'!$B$6="Low",I8="Medium"),5,IF(AND('01_玩家问卷'!$B$6="High",I8="Medium"),8,0)))+IF(AND('01_玩家问卷'!$B$10="2024 Core Only",J8&lt;&gt;"2024 PHB"),-40,IF(AND('01_玩家问卷'!$B$10="2024 + 2024 Expansions",ISNUMBER(SEARCH("Legacy",J8))),-50,0))+IF(AND('01_玩家问卷'!$B$11="No",ISNUMBER(SEARCH("Faerûn",J8))),-25,0)+IF(AND('01_玩家问卷'!$B$12&lt;&gt;"None",ISNUMBER(SEARCH('01_玩家问卷'!$B$12,U8))),-25,0)+ROW()/1000,0)</f>
        <v>40.008</v>
      </c>
      <c r="W8" s="2"/>
    </row>
    <row r="9" ht="26.4" customHeight="1" spans="1:23">
      <c r="A9" s="2">
        <v>8</v>
      </c>
      <c r="B9" s="2" t="s">
        <v>137</v>
      </c>
      <c r="C9" s="2" t="s">
        <v>234</v>
      </c>
      <c r="D9" s="2" t="s">
        <v>170</v>
      </c>
      <c r="E9" s="2" t="s">
        <v>158</v>
      </c>
      <c r="F9" s="2" t="s">
        <v>235</v>
      </c>
      <c r="G9" s="2" t="s">
        <v>236</v>
      </c>
      <c r="H9" s="2" t="s">
        <v>208</v>
      </c>
      <c r="I9" s="2" t="s">
        <v>90</v>
      </c>
      <c r="J9" s="2" t="s">
        <v>144</v>
      </c>
      <c r="K9" s="2" t="s">
        <v>145</v>
      </c>
      <c r="L9" s="2" t="s">
        <v>226</v>
      </c>
      <c r="M9" s="2" t="s">
        <v>237</v>
      </c>
      <c r="N9" s="2" t="s">
        <v>238</v>
      </c>
      <c r="O9" s="2" t="s">
        <v>164</v>
      </c>
      <c r="P9" s="2" t="s">
        <v>239</v>
      </c>
      <c r="Q9" s="2" t="s">
        <v>240</v>
      </c>
      <c r="R9" s="2" t="s">
        <v>241</v>
      </c>
      <c r="S9" s="2" t="s">
        <v>242</v>
      </c>
      <c r="T9" s="2" t="s">
        <v>154</v>
      </c>
      <c r="U9" s="2" t="s">
        <v>218</v>
      </c>
      <c r="V9" s="3">
        <f>IFERROR(IF(ISNUMBER(SEARCH('01_玩家问卷'!$B$4,D9)),20,0)+IF(ISNUMBER(SEARCH('01_玩家问卷'!$B$5,E9)),15,0)+IF(ISNUMBER(SEARCH('01_玩家问卷'!$B$7,F9)),15,0)+IF(ISNUMBER(SEARCH('01_玩家问卷'!$B$8,G9)),15,0)+IF(ISNUMBER(SEARCH('01_玩家问卷'!$B$9,H9)),15,0)+IF(I9='01_玩家问卷'!$B$6,10,IF(AND('01_玩家问卷'!$B$6="Low",I9="Medium"),5,IF(AND('01_玩家问卷'!$B$6="High",I9="Medium"),8,0)))+IF(AND('01_玩家问卷'!$B$10="2024 Core Only",J9&lt;&gt;"2024 PHB"),-40,IF(AND('01_玩家问卷'!$B$10="2024 + 2024 Expansions",ISNUMBER(SEARCH("Legacy",J9))),-50,0))+IF(AND('01_玩家问卷'!$B$11="No",ISNUMBER(SEARCH("Faerûn",J9))),-25,0)+IF(AND('01_玩家问卷'!$B$12&lt;&gt;"None",ISNUMBER(SEARCH('01_玩家问卷'!$B$12,U9))),-25,0)+ROW()/1000,0)</f>
        <v>70.009</v>
      </c>
      <c r="W9" s="2"/>
    </row>
    <row r="10" ht="26.4" customHeight="1" spans="1:23">
      <c r="A10" s="2">
        <v>9</v>
      </c>
      <c r="B10" s="2" t="s">
        <v>137</v>
      </c>
      <c r="C10" s="2" t="s">
        <v>243</v>
      </c>
      <c r="D10" s="2" t="s">
        <v>220</v>
      </c>
      <c r="E10" s="2" t="s">
        <v>183</v>
      </c>
      <c r="F10" s="2" t="s">
        <v>244</v>
      </c>
      <c r="G10" s="2" t="s">
        <v>245</v>
      </c>
      <c r="H10" s="2" t="s">
        <v>246</v>
      </c>
      <c r="I10" s="2" t="s">
        <v>90</v>
      </c>
      <c r="J10" s="2" t="s">
        <v>144</v>
      </c>
      <c r="K10" s="2" t="s">
        <v>247</v>
      </c>
      <c r="L10" s="2" t="s">
        <v>248</v>
      </c>
      <c r="M10" s="2" t="s">
        <v>249</v>
      </c>
      <c r="N10" s="2" t="s">
        <v>250</v>
      </c>
      <c r="O10" s="2" t="s">
        <v>251</v>
      </c>
      <c r="P10" s="2" t="s">
        <v>252</v>
      </c>
      <c r="Q10" s="2" t="s">
        <v>253</v>
      </c>
      <c r="R10" s="2" t="s">
        <v>254</v>
      </c>
      <c r="S10" s="2" t="s">
        <v>255</v>
      </c>
      <c r="T10" s="2" t="s">
        <v>154</v>
      </c>
      <c r="U10" s="2" t="s">
        <v>59</v>
      </c>
      <c r="V10" s="3">
        <f>IFERROR(IF(ISNUMBER(SEARCH('01_玩家问卷'!$B$4,D10)),20,0)+IF(ISNUMBER(SEARCH('01_玩家问卷'!$B$5,E10)),15,0)+IF(ISNUMBER(SEARCH('01_玩家问卷'!$B$7,F10)),15,0)+IF(ISNUMBER(SEARCH('01_玩家问卷'!$B$8,G10)),15,0)+IF(ISNUMBER(SEARCH('01_玩家问卷'!$B$9,H10)),15,0)+IF(I10='01_玩家问卷'!$B$6,10,IF(AND('01_玩家问卷'!$B$6="Low",I10="Medium"),5,IF(AND('01_玩家问卷'!$B$6="High",I10="Medium"),8,0)))+IF(AND('01_玩家问卷'!$B$10="2024 Core Only",J10&lt;&gt;"2024 PHB"),-40,IF(AND('01_玩家问卷'!$B$10="2024 + 2024 Expansions",ISNUMBER(SEARCH("Legacy",J10))),-50,0))+IF(AND('01_玩家问卷'!$B$11="No",ISNUMBER(SEARCH("Faerûn",J10))),-25,0)+IF(AND('01_玩家问卷'!$B$12&lt;&gt;"None",ISNUMBER(SEARCH('01_玩家问卷'!$B$12,U10))),-25,0)+ROW()/1000,0)</f>
        <v>50.01</v>
      </c>
      <c r="W10" s="2"/>
    </row>
    <row r="11" ht="26.4" customHeight="1" spans="1:23">
      <c r="A11" s="2">
        <v>10</v>
      </c>
      <c r="B11" s="2" t="s">
        <v>137</v>
      </c>
      <c r="C11" s="2" t="s">
        <v>256</v>
      </c>
      <c r="D11" s="2" t="s">
        <v>257</v>
      </c>
      <c r="E11" s="2" t="s">
        <v>158</v>
      </c>
      <c r="F11" s="2" t="s">
        <v>258</v>
      </c>
      <c r="G11" s="2" t="s">
        <v>259</v>
      </c>
      <c r="H11" s="2" t="s">
        <v>260</v>
      </c>
      <c r="I11" s="2" t="s">
        <v>95</v>
      </c>
      <c r="J11" s="2" t="s">
        <v>144</v>
      </c>
      <c r="K11" s="2" t="s">
        <v>145</v>
      </c>
      <c r="L11" s="2" t="s">
        <v>261</v>
      </c>
      <c r="M11" s="2" t="s">
        <v>262</v>
      </c>
      <c r="N11" s="2" t="s">
        <v>263</v>
      </c>
      <c r="O11" s="2" t="s">
        <v>264</v>
      </c>
      <c r="P11" s="2" t="s">
        <v>265</v>
      </c>
      <c r="Q11" s="2" t="s">
        <v>266</v>
      </c>
      <c r="R11" s="2" t="s">
        <v>267</v>
      </c>
      <c r="S11" s="2" t="s">
        <v>268</v>
      </c>
      <c r="T11" s="2" t="s">
        <v>154</v>
      </c>
      <c r="U11" s="2" t="s">
        <v>269</v>
      </c>
      <c r="V11" s="3">
        <f>IFERROR(IF(ISNUMBER(SEARCH('01_玩家问卷'!$B$4,D11)),20,0)+IF(ISNUMBER(SEARCH('01_玩家问卷'!$B$5,E11)),15,0)+IF(ISNUMBER(SEARCH('01_玩家问卷'!$B$7,F11)),15,0)+IF(ISNUMBER(SEARCH('01_玩家问卷'!$B$8,G11)),15,0)+IF(ISNUMBER(SEARCH('01_玩家问卷'!$B$9,H11)),15,0)+IF(I11='01_玩家问卷'!$B$6,10,IF(AND('01_玩家问卷'!$B$6="Low",I11="Medium"),5,IF(AND('01_玩家问卷'!$B$6="High",I11="Medium"),8,0)))+IF(AND('01_玩家问卷'!$B$10="2024 Core Only",J11&lt;&gt;"2024 PHB"),-40,IF(AND('01_玩家问卷'!$B$10="2024 + 2024 Expansions",ISNUMBER(SEARCH("Legacy",J11))),-50,0))+IF(AND('01_玩家问卷'!$B$11="No",ISNUMBER(SEARCH("Faerûn",J11))),-25,0)+IF(AND('01_玩家问卷'!$B$12&lt;&gt;"None",ISNUMBER(SEARCH('01_玩家问卷'!$B$12,U11))),-25,0)+ROW()/1000,0)</f>
        <v>35.011</v>
      </c>
      <c r="W11" s="2"/>
    </row>
    <row r="12" ht="15" customHeight="1" spans="1:23">
      <c r="A12" s="2">
        <v>11</v>
      </c>
      <c r="B12" s="2" t="s">
        <v>137</v>
      </c>
      <c r="C12" s="2" t="s">
        <v>270</v>
      </c>
      <c r="D12" s="2" t="s">
        <v>157</v>
      </c>
      <c r="E12" s="2" t="s">
        <v>271</v>
      </c>
      <c r="F12" s="2" t="s">
        <v>272</v>
      </c>
      <c r="G12" s="2" t="s">
        <v>273</v>
      </c>
      <c r="H12" s="2" t="s">
        <v>274</v>
      </c>
      <c r="I12" s="2" t="s">
        <v>275</v>
      </c>
      <c r="J12" s="2" t="s">
        <v>144</v>
      </c>
      <c r="K12" s="2" t="s">
        <v>209</v>
      </c>
      <c r="L12" s="2" t="s">
        <v>276</v>
      </c>
      <c r="M12" s="2" t="s">
        <v>277</v>
      </c>
      <c r="N12" s="2" t="s">
        <v>278</v>
      </c>
      <c r="O12" s="2" t="s">
        <v>279</v>
      </c>
      <c r="P12" s="2" t="s">
        <v>280</v>
      </c>
      <c r="Q12" s="2" t="s">
        <v>281</v>
      </c>
      <c r="R12" s="2" t="s">
        <v>282</v>
      </c>
      <c r="S12" s="2" t="s">
        <v>283</v>
      </c>
      <c r="T12" s="2" t="s">
        <v>154</v>
      </c>
      <c r="U12" s="2" t="s">
        <v>284</v>
      </c>
      <c r="V12" s="3">
        <f>IFERROR(IF(ISNUMBER(SEARCH('01_玩家问卷'!$B$4,D12)),20,0)+IF(ISNUMBER(SEARCH('01_玩家问卷'!$B$5,E12)),15,0)+IF(ISNUMBER(SEARCH('01_玩家问卷'!$B$7,F12)),15,0)+IF(ISNUMBER(SEARCH('01_玩家问卷'!$B$8,G12)),15,0)+IF(ISNUMBER(SEARCH('01_玩家问卷'!$B$9,H12)),15,0)+IF(I12='01_玩家问卷'!$B$6,10,IF(AND('01_玩家问卷'!$B$6="Low",I12="Medium"),5,IF(AND('01_玩家问卷'!$B$6="High",I12="Medium"),8,0)))+IF(AND('01_玩家问卷'!$B$10="2024 Core Only",J12&lt;&gt;"2024 PHB"),-40,IF(AND('01_玩家问卷'!$B$10="2024 + 2024 Expansions",ISNUMBER(SEARCH("Legacy",J12))),-50,0))+IF(AND('01_玩家问卷'!$B$11="No",ISNUMBER(SEARCH("Faerûn",J12))),-25,0)+IF(AND('01_玩家问卷'!$B$12&lt;&gt;"None",ISNUMBER(SEARCH('01_玩家问卷'!$B$12,U12))),-25,0)+ROW()/1000,0)</f>
        <v>50.012</v>
      </c>
      <c r="W12" s="2"/>
    </row>
    <row r="13" ht="15" customHeight="1" spans="1:23">
      <c r="A13" s="2">
        <v>12</v>
      </c>
      <c r="B13" s="2" t="s">
        <v>137</v>
      </c>
      <c r="C13" s="2" t="s">
        <v>285</v>
      </c>
      <c r="D13" s="2" t="s">
        <v>157</v>
      </c>
      <c r="E13" s="2" t="s">
        <v>271</v>
      </c>
      <c r="F13" s="2" t="s">
        <v>286</v>
      </c>
      <c r="G13" s="2" t="s">
        <v>287</v>
      </c>
      <c r="H13" s="2" t="s">
        <v>288</v>
      </c>
      <c r="I13" s="2" t="s">
        <v>275</v>
      </c>
      <c r="J13" s="2" t="s">
        <v>144</v>
      </c>
      <c r="K13" s="2" t="s">
        <v>289</v>
      </c>
      <c r="L13" s="2" t="s">
        <v>276</v>
      </c>
      <c r="M13" s="2" t="s">
        <v>290</v>
      </c>
      <c r="N13" s="2" t="s">
        <v>291</v>
      </c>
      <c r="O13" s="2" t="s">
        <v>251</v>
      </c>
      <c r="P13" s="2" t="s">
        <v>280</v>
      </c>
      <c r="Q13" s="2" t="s">
        <v>292</v>
      </c>
      <c r="R13" s="2" t="s">
        <v>293</v>
      </c>
      <c r="S13" s="2" t="s">
        <v>294</v>
      </c>
      <c r="T13" s="2" t="s">
        <v>154</v>
      </c>
      <c r="U13" s="2" t="s">
        <v>284</v>
      </c>
      <c r="V13" s="3">
        <f>IFERROR(IF(ISNUMBER(SEARCH('01_玩家问卷'!$B$4,D13)),20,0)+IF(ISNUMBER(SEARCH('01_玩家问卷'!$B$5,E13)),15,0)+IF(ISNUMBER(SEARCH('01_玩家问卷'!$B$7,F13)),15,0)+IF(ISNUMBER(SEARCH('01_玩家问卷'!$B$8,G13)),15,0)+IF(ISNUMBER(SEARCH('01_玩家问卷'!$B$9,H13)),15,0)+IF(I13='01_玩家问卷'!$B$6,10,IF(AND('01_玩家问卷'!$B$6="Low",I13="Medium"),5,IF(AND('01_玩家问卷'!$B$6="High",I13="Medium"),8,0)))+IF(AND('01_玩家问卷'!$B$10="2024 Core Only",J13&lt;&gt;"2024 PHB"),-40,IF(AND('01_玩家问卷'!$B$10="2024 + 2024 Expansions",ISNUMBER(SEARCH("Legacy",J13))),-50,0))+IF(AND('01_玩家问卷'!$B$11="No",ISNUMBER(SEARCH("Faerûn",J13))),-25,0)+IF(AND('01_玩家问卷'!$B$12&lt;&gt;"None",ISNUMBER(SEARCH('01_玩家问卷'!$B$12,U13))),-25,0)+ROW()/1000,0)</f>
        <v>50.013</v>
      </c>
      <c r="W13" s="2"/>
    </row>
    <row r="14" ht="15" customHeight="1" spans="1:23">
      <c r="A14" s="2">
        <v>13</v>
      </c>
      <c r="B14" s="2" t="s">
        <v>137</v>
      </c>
      <c r="C14" s="2" t="s">
        <v>295</v>
      </c>
      <c r="D14" s="2" t="s">
        <v>296</v>
      </c>
      <c r="E14" s="2" t="s">
        <v>158</v>
      </c>
      <c r="F14" s="2" t="s">
        <v>297</v>
      </c>
      <c r="G14" s="2" t="s">
        <v>298</v>
      </c>
      <c r="H14" s="2" t="s">
        <v>299</v>
      </c>
      <c r="I14" s="2" t="s">
        <v>90</v>
      </c>
      <c r="J14" s="2" t="s">
        <v>144</v>
      </c>
      <c r="K14" s="2" t="s">
        <v>145</v>
      </c>
      <c r="L14" s="2" t="s">
        <v>300</v>
      </c>
      <c r="M14" s="2" t="s">
        <v>301</v>
      </c>
      <c r="N14" s="2" t="s">
        <v>302</v>
      </c>
      <c r="O14" s="2" t="s">
        <v>303</v>
      </c>
      <c r="P14" s="2" t="s">
        <v>304</v>
      </c>
      <c r="Q14" s="2" t="s">
        <v>305</v>
      </c>
      <c r="R14" s="2" t="s">
        <v>306</v>
      </c>
      <c r="S14" s="2" t="s">
        <v>307</v>
      </c>
      <c r="T14" s="2" t="s">
        <v>154</v>
      </c>
      <c r="U14" s="2" t="s">
        <v>155</v>
      </c>
      <c r="V14" s="3">
        <f>IFERROR(IF(ISNUMBER(SEARCH('01_玩家问卷'!$B$4,D14)),20,0)+IF(ISNUMBER(SEARCH('01_玩家问卷'!$B$5,E14)),15,0)+IF(ISNUMBER(SEARCH('01_玩家问卷'!$B$7,F14)),15,0)+IF(ISNUMBER(SEARCH('01_玩家问卷'!$B$8,G14)),15,0)+IF(ISNUMBER(SEARCH('01_玩家问卷'!$B$9,H14)),15,0)+IF(I14='01_玩家问卷'!$B$6,10,IF(AND('01_玩家问卷'!$B$6="Low",I14="Medium"),5,IF(AND('01_玩家问卷'!$B$6="High",I14="Medium"),8,0)))+IF(AND('01_玩家问卷'!$B$10="2024 Core Only",J14&lt;&gt;"2024 PHB"),-40,IF(AND('01_玩家问卷'!$B$10="2024 + 2024 Expansions",ISNUMBER(SEARCH("Legacy",J14))),-50,0))+IF(AND('01_玩家问卷'!$B$11="No",ISNUMBER(SEARCH("Faerûn",J14))),-25,0)+IF(AND('01_玩家问卷'!$B$12&lt;&gt;"None",ISNUMBER(SEARCH('01_玩家问卷'!$B$12,U14))),-25,0)+ROW()/1000,0)</f>
        <v>40.014</v>
      </c>
      <c r="W14" s="2"/>
    </row>
    <row r="15" ht="26.4" customHeight="1" spans="1:23">
      <c r="A15" s="2">
        <v>14</v>
      </c>
      <c r="B15" s="2" t="s">
        <v>137</v>
      </c>
      <c r="C15" s="2" t="s">
        <v>308</v>
      </c>
      <c r="D15" s="2" t="s">
        <v>170</v>
      </c>
      <c r="E15" s="2" t="s">
        <v>183</v>
      </c>
      <c r="F15" s="2" t="s">
        <v>309</v>
      </c>
      <c r="G15" s="2" t="s">
        <v>310</v>
      </c>
      <c r="H15" s="2" t="s">
        <v>311</v>
      </c>
      <c r="I15" s="2" t="s">
        <v>90</v>
      </c>
      <c r="J15" s="2" t="s">
        <v>144</v>
      </c>
      <c r="K15" s="2" t="s">
        <v>187</v>
      </c>
      <c r="L15" s="2" t="s">
        <v>300</v>
      </c>
      <c r="M15" s="2" t="s">
        <v>312</v>
      </c>
      <c r="N15" s="2" t="s">
        <v>190</v>
      </c>
      <c r="O15" s="2" t="s">
        <v>191</v>
      </c>
      <c r="P15" s="2" t="s">
        <v>313</v>
      </c>
      <c r="Q15" s="2" t="s">
        <v>314</v>
      </c>
      <c r="R15" s="2" t="s">
        <v>315</v>
      </c>
      <c r="S15" s="2" t="s">
        <v>316</v>
      </c>
      <c r="T15" s="2" t="s">
        <v>154</v>
      </c>
      <c r="U15" s="2" t="s">
        <v>155</v>
      </c>
      <c r="V15" s="3">
        <f>IFERROR(IF(ISNUMBER(SEARCH('01_玩家问卷'!$B$4,D15)),20,0)+IF(ISNUMBER(SEARCH('01_玩家问卷'!$B$5,E15)),15,0)+IF(ISNUMBER(SEARCH('01_玩家问卷'!$B$7,F15)),15,0)+IF(ISNUMBER(SEARCH('01_玩家问卷'!$B$8,G15)),15,0)+IF(ISNUMBER(SEARCH('01_玩家问卷'!$B$9,H15)),15,0)+IF(I15='01_玩家问卷'!$B$6,10,IF(AND('01_玩家问卷'!$B$6="Low",I15="Medium"),5,IF(AND('01_玩家问卷'!$B$6="High",I15="Medium"),8,0)))+IF(AND('01_玩家问卷'!$B$10="2024 Core Only",J15&lt;&gt;"2024 PHB"),-40,IF(AND('01_玩家问卷'!$B$10="2024 + 2024 Expansions",ISNUMBER(SEARCH("Legacy",J15))),-50,0))+IF(AND('01_玩家问卷'!$B$11="No",ISNUMBER(SEARCH("Faerûn",J15))),-25,0)+IF(AND('01_玩家问卷'!$B$12&lt;&gt;"None",ISNUMBER(SEARCH('01_玩家问卷'!$B$12,U15))),-25,0)+ROW()/1000,0)</f>
        <v>40.015</v>
      </c>
      <c r="W15" s="2"/>
    </row>
    <row r="16" ht="26.4" customHeight="1" spans="1:23">
      <c r="A16" s="2">
        <v>15</v>
      </c>
      <c r="B16" s="2" t="s">
        <v>137</v>
      </c>
      <c r="C16" s="2" t="s">
        <v>317</v>
      </c>
      <c r="D16" s="2" t="s">
        <v>170</v>
      </c>
      <c r="E16" s="2" t="s">
        <v>271</v>
      </c>
      <c r="F16" s="2" t="s">
        <v>318</v>
      </c>
      <c r="G16" s="2" t="s">
        <v>319</v>
      </c>
      <c r="H16" s="2" t="s">
        <v>320</v>
      </c>
      <c r="I16" s="2" t="s">
        <v>95</v>
      </c>
      <c r="J16" s="2" t="s">
        <v>144</v>
      </c>
      <c r="K16" s="2" t="s">
        <v>145</v>
      </c>
      <c r="L16" s="2" t="s">
        <v>321</v>
      </c>
      <c r="M16" s="2" t="s">
        <v>322</v>
      </c>
      <c r="N16" s="2" t="s">
        <v>212</v>
      </c>
      <c r="O16" s="2" t="s">
        <v>213</v>
      </c>
      <c r="P16" s="2" t="s">
        <v>313</v>
      </c>
      <c r="Q16" s="2" t="s">
        <v>323</v>
      </c>
      <c r="R16" s="2" t="s">
        <v>324</v>
      </c>
      <c r="S16" s="2" t="s">
        <v>325</v>
      </c>
      <c r="T16" s="2" t="s">
        <v>154</v>
      </c>
      <c r="U16" s="2" t="s">
        <v>326</v>
      </c>
      <c r="V16" s="3">
        <f>IFERROR(IF(ISNUMBER(SEARCH('01_玩家问卷'!$B$4,D16)),20,0)+IF(ISNUMBER(SEARCH('01_玩家问卷'!$B$5,E16)),15,0)+IF(ISNUMBER(SEARCH('01_玩家问卷'!$B$7,F16)),15,0)+IF(ISNUMBER(SEARCH('01_玩家问卷'!$B$8,G16)),15,0)+IF(ISNUMBER(SEARCH('01_玩家问卷'!$B$9,H16)),15,0)+IF(I16='01_玩家问卷'!$B$6,10,IF(AND('01_玩家问卷'!$B$6="Low",I16="Medium"),5,IF(AND('01_玩家问卷'!$B$6="High",I16="Medium"),8,0)))+IF(AND('01_玩家问卷'!$B$10="2024 Core Only",J16&lt;&gt;"2024 PHB"),-40,IF(AND('01_玩家问卷'!$B$10="2024 + 2024 Expansions",ISNUMBER(SEARCH("Legacy",J16))),-50,0))+IF(AND('01_玩家问卷'!$B$11="No",ISNUMBER(SEARCH("Faerûn",J16))),-25,0)+IF(AND('01_玩家问卷'!$B$12&lt;&gt;"None",ISNUMBER(SEARCH('01_玩家问卷'!$B$12,U16))),-25,0)+ROW()/1000,0)</f>
        <v>50.016</v>
      </c>
      <c r="W16" s="2"/>
    </row>
    <row r="17" ht="26.4" customHeight="1" spans="1:23">
      <c r="A17" s="2">
        <v>16</v>
      </c>
      <c r="B17" s="2" t="s">
        <v>137</v>
      </c>
      <c r="C17" s="2" t="s">
        <v>327</v>
      </c>
      <c r="D17" s="2" t="s">
        <v>170</v>
      </c>
      <c r="E17" s="2" t="s">
        <v>158</v>
      </c>
      <c r="F17" s="2" t="s">
        <v>328</v>
      </c>
      <c r="G17" s="2" t="s">
        <v>329</v>
      </c>
      <c r="H17" s="2" t="s">
        <v>330</v>
      </c>
      <c r="I17" s="2" t="s">
        <v>90</v>
      </c>
      <c r="J17" s="2" t="s">
        <v>144</v>
      </c>
      <c r="K17" s="2" t="s">
        <v>209</v>
      </c>
      <c r="L17" s="2" t="s">
        <v>321</v>
      </c>
      <c r="M17" s="2" t="s">
        <v>331</v>
      </c>
      <c r="N17" s="2" t="s">
        <v>176</v>
      </c>
      <c r="O17" s="2" t="s">
        <v>177</v>
      </c>
      <c r="P17" s="2" t="s">
        <v>313</v>
      </c>
      <c r="Q17" s="2" t="s">
        <v>332</v>
      </c>
      <c r="R17" s="2" t="s">
        <v>333</v>
      </c>
      <c r="S17" s="2" t="s">
        <v>334</v>
      </c>
      <c r="T17" s="2" t="s">
        <v>154</v>
      </c>
      <c r="U17" s="2" t="s">
        <v>155</v>
      </c>
      <c r="V17" s="3">
        <f>IFERROR(IF(ISNUMBER(SEARCH('01_玩家问卷'!$B$4,D17)),20,0)+IF(ISNUMBER(SEARCH('01_玩家问卷'!$B$5,E17)),15,0)+IF(ISNUMBER(SEARCH('01_玩家问卷'!$B$7,F17)),15,0)+IF(ISNUMBER(SEARCH('01_玩家问卷'!$B$8,G17)),15,0)+IF(ISNUMBER(SEARCH('01_玩家问卷'!$B$9,H17)),15,0)+IF(I17='01_玩家问卷'!$B$6,10,IF(AND('01_玩家问卷'!$B$6="Low",I17="Medium"),5,IF(AND('01_玩家问卷'!$B$6="High",I17="Medium"),8,0)))+IF(AND('01_玩家问卷'!$B$10="2024 Core Only",J17&lt;&gt;"2024 PHB"),-40,IF(AND('01_玩家问卷'!$B$10="2024 + 2024 Expansions",ISNUMBER(SEARCH("Legacy",J17))),-50,0))+IF(AND('01_玩家问卷'!$B$11="No",ISNUMBER(SEARCH("Faerûn",J17))),-25,0)+IF(AND('01_玩家问卷'!$B$12&lt;&gt;"None",ISNUMBER(SEARCH('01_玩家问卷'!$B$12,U17))),-25,0)+ROW()/1000,0)</f>
        <v>55.017</v>
      </c>
      <c r="W17" s="2"/>
    </row>
    <row r="18" ht="26.4" customHeight="1" spans="1:23">
      <c r="A18" s="2">
        <v>17</v>
      </c>
      <c r="B18" s="2" t="s">
        <v>137</v>
      </c>
      <c r="C18" s="2" t="s">
        <v>335</v>
      </c>
      <c r="D18" s="2" t="s">
        <v>170</v>
      </c>
      <c r="E18" s="2" t="s">
        <v>158</v>
      </c>
      <c r="F18" s="2" t="s">
        <v>336</v>
      </c>
      <c r="G18" s="2" t="s">
        <v>337</v>
      </c>
      <c r="H18" s="2" t="s">
        <v>208</v>
      </c>
      <c r="I18" s="2" t="s">
        <v>90</v>
      </c>
      <c r="J18" s="2" t="s">
        <v>144</v>
      </c>
      <c r="K18" s="2" t="s">
        <v>338</v>
      </c>
      <c r="L18" s="2" t="s">
        <v>339</v>
      </c>
      <c r="M18" s="2" t="s">
        <v>340</v>
      </c>
      <c r="N18" s="2" t="s">
        <v>238</v>
      </c>
      <c r="O18" s="2" t="s">
        <v>164</v>
      </c>
      <c r="P18" s="2" t="s">
        <v>214</v>
      </c>
      <c r="Q18" s="2" t="s">
        <v>341</v>
      </c>
      <c r="R18" s="2" t="s">
        <v>342</v>
      </c>
      <c r="S18" s="2" t="s">
        <v>343</v>
      </c>
      <c r="T18" s="2" t="s">
        <v>154</v>
      </c>
      <c r="U18" s="2" t="s">
        <v>344</v>
      </c>
      <c r="V18" s="3">
        <f>IFERROR(IF(ISNUMBER(SEARCH('01_玩家问卷'!$B$4,D18)),20,0)+IF(ISNUMBER(SEARCH('01_玩家问卷'!$B$5,E18)),15,0)+IF(ISNUMBER(SEARCH('01_玩家问卷'!$B$7,F18)),15,0)+IF(ISNUMBER(SEARCH('01_玩家问卷'!$B$8,G18)),15,0)+IF(ISNUMBER(SEARCH('01_玩家问卷'!$B$9,H18)),15,0)+IF(I18='01_玩家问卷'!$B$6,10,IF(AND('01_玩家问卷'!$B$6="Low",I18="Medium"),5,IF(AND('01_玩家问卷'!$B$6="High",I18="Medium"),8,0)))+IF(AND('01_玩家问卷'!$B$10="2024 Core Only",J18&lt;&gt;"2024 PHB"),-40,IF(AND('01_玩家问卷'!$B$10="2024 + 2024 Expansions",ISNUMBER(SEARCH("Legacy",J18))),-50,0))+IF(AND('01_玩家问卷'!$B$11="No",ISNUMBER(SEARCH("Faerûn",J18))),-25,0)+IF(AND('01_玩家问卷'!$B$12&lt;&gt;"None",ISNUMBER(SEARCH('01_玩家问卷'!$B$12,U18))),-25,0)+ROW()/1000,0)</f>
        <v>55.018</v>
      </c>
      <c r="W18" s="2"/>
    </row>
    <row r="19" ht="26.4" customHeight="1" spans="1:23">
      <c r="A19" s="2">
        <v>18</v>
      </c>
      <c r="B19" s="2" t="s">
        <v>137</v>
      </c>
      <c r="C19" s="2" t="s">
        <v>345</v>
      </c>
      <c r="D19" s="2" t="s">
        <v>170</v>
      </c>
      <c r="E19" s="2" t="s">
        <v>183</v>
      </c>
      <c r="F19" s="2" t="s">
        <v>346</v>
      </c>
      <c r="G19" s="2" t="s">
        <v>347</v>
      </c>
      <c r="H19" s="2" t="s">
        <v>348</v>
      </c>
      <c r="I19" s="2" t="s">
        <v>90</v>
      </c>
      <c r="J19" s="2" t="s">
        <v>144</v>
      </c>
      <c r="K19" s="2" t="s">
        <v>145</v>
      </c>
      <c r="L19" s="2" t="s">
        <v>339</v>
      </c>
      <c r="M19" s="2" t="s">
        <v>349</v>
      </c>
      <c r="N19" s="2" t="s">
        <v>302</v>
      </c>
      <c r="O19" s="2" t="s">
        <v>303</v>
      </c>
      <c r="P19" s="2" t="s">
        <v>214</v>
      </c>
      <c r="Q19" s="2" t="s">
        <v>350</v>
      </c>
      <c r="R19" s="2" t="s">
        <v>351</v>
      </c>
      <c r="S19" s="2" t="s">
        <v>352</v>
      </c>
      <c r="T19" s="2" t="s">
        <v>154</v>
      </c>
      <c r="U19" s="2" t="s">
        <v>59</v>
      </c>
      <c r="V19" s="3">
        <f>IFERROR(IF(ISNUMBER(SEARCH('01_玩家问卷'!$B$4,D19)),20,0)+IF(ISNUMBER(SEARCH('01_玩家问卷'!$B$5,E19)),15,0)+IF(ISNUMBER(SEARCH('01_玩家问卷'!$B$7,F19)),15,0)+IF(ISNUMBER(SEARCH('01_玩家问卷'!$B$8,G19)),15,0)+IF(ISNUMBER(SEARCH('01_玩家问卷'!$B$9,H19)),15,0)+IF(I19='01_玩家问卷'!$B$6,10,IF(AND('01_玩家问卷'!$B$6="Low",I19="Medium"),5,IF(AND('01_玩家问卷'!$B$6="High",I19="Medium"),8,0)))+IF(AND('01_玩家问卷'!$B$10="2024 Core Only",J19&lt;&gt;"2024 PHB"),-40,IF(AND('01_玩家问卷'!$B$10="2024 + 2024 Expansions",ISNUMBER(SEARCH("Legacy",J19))),-50,0))+IF(AND('01_玩家问卷'!$B$11="No",ISNUMBER(SEARCH("Faerûn",J19))),-25,0)+IF(AND('01_玩家问卷'!$B$12&lt;&gt;"None",ISNUMBER(SEARCH('01_玩家问卷'!$B$12,U19))),-25,0)+ROW()/1000,0)</f>
        <v>55.019</v>
      </c>
      <c r="W19" s="2"/>
    </row>
    <row r="20" ht="26.4" customHeight="1" spans="1:23">
      <c r="A20" s="2">
        <v>19</v>
      </c>
      <c r="B20" s="2" t="s">
        <v>137</v>
      </c>
      <c r="C20" s="2" t="s">
        <v>353</v>
      </c>
      <c r="D20" s="2" t="s">
        <v>170</v>
      </c>
      <c r="E20" s="2" t="s">
        <v>183</v>
      </c>
      <c r="F20" s="2" t="s">
        <v>354</v>
      </c>
      <c r="G20" s="2" t="s">
        <v>355</v>
      </c>
      <c r="H20" s="2" t="s">
        <v>356</v>
      </c>
      <c r="I20" s="2" t="s">
        <v>90</v>
      </c>
      <c r="J20" s="2" t="s">
        <v>144</v>
      </c>
      <c r="K20" s="2" t="s">
        <v>200</v>
      </c>
      <c r="L20" s="2" t="s">
        <v>357</v>
      </c>
      <c r="M20" s="2" t="s">
        <v>358</v>
      </c>
      <c r="N20" s="2" t="s">
        <v>359</v>
      </c>
      <c r="O20" s="2" t="s">
        <v>251</v>
      </c>
      <c r="P20" s="2" t="s">
        <v>252</v>
      </c>
      <c r="Q20" s="2" t="s">
        <v>360</v>
      </c>
      <c r="R20" s="2" t="s">
        <v>361</v>
      </c>
      <c r="S20" s="2" t="s">
        <v>362</v>
      </c>
      <c r="T20" s="2" t="s">
        <v>154</v>
      </c>
      <c r="U20" s="2" t="s">
        <v>155</v>
      </c>
      <c r="V20" s="3">
        <f>IFERROR(IF(ISNUMBER(SEARCH('01_玩家问卷'!$B$4,D20)),20,0)+IF(ISNUMBER(SEARCH('01_玩家问卷'!$B$5,E20)),15,0)+IF(ISNUMBER(SEARCH('01_玩家问卷'!$B$7,F20)),15,0)+IF(ISNUMBER(SEARCH('01_玩家问卷'!$B$8,G20)),15,0)+IF(ISNUMBER(SEARCH('01_玩家问卷'!$B$9,H20)),15,0)+IF(I20='01_玩家问卷'!$B$6,10,IF(AND('01_玩家问卷'!$B$6="Low",I20="Medium"),5,IF(AND('01_玩家问卷'!$B$6="High",I20="Medium"),8,0)))+IF(AND('01_玩家问卷'!$B$10="2024 Core Only",J20&lt;&gt;"2024 PHB"),-40,IF(AND('01_玩家问卷'!$B$10="2024 + 2024 Expansions",ISNUMBER(SEARCH("Legacy",J20))),-50,0))+IF(AND('01_玩家问卷'!$B$11="No",ISNUMBER(SEARCH("Faerûn",J20))),-25,0)+IF(AND('01_玩家问卷'!$B$12&lt;&gt;"None",ISNUMBER(SEARCH('01_玩家问卷'!$B$12,U20))),-25,0)+ROW()/1000,0)</f>
        <v>55.02</v>
      </c>
      <c r="W20" s="2"/>
    </row>
    <row r="21" ht="26.4" customHeight="1" spans="1:23">
      <c r="A21" s="2">
        <v>20</v>
      </c>
      <c r="B21" s="2" t="s">
        <v>137</v>
      </c>
      <c r="C21" s="2" t="s">
        <v>363</v>
      </c>
      <c r="D21" s="2" t="s">
        <v>220</v>
      </c>
      <c r="E21" s="2" t="s">
        <v>158</v>
      </c>
      <c r="F21" s="2" t="s">
        <v>364</v>
      </c>
      <c r="G21" s="2" t="s">
        <v>365</v>
      </c>
      <c r="H21" s="2" t="s">
        <v>356</v>
      </c>
      <c r="I21" s="2" t="s">
        <v>90</v>
      </c>
      <c r="J21" s="2" t="s">
        <v>144</v>
      </c>
      <c r="K21" s="2" t="s">
        <v>247</v>
      </c>
      <c r="L21" s="2" t="s">
        <v>357</v>
      </c>
      <c r="M21" s="2" t="s">
        <v>366</v>
      </c>
      <c r="N21" s="2" t="s">
        <v>250</v>
      </c>
      <c r="O21" s="2" t="s">
        <v>251</v>
      </c>
      <c r="P21" s="2" t="s">
        <v>252</v>
      </c>
      <c r="Q21" s="2" t="s">
        <v>367</v>
      </c>
      <c r="R21" s="2" t="s">
        <v>368</v>
      </c>
      <c r="S21" s="2" t="s">
        <v>369</v>
      </c>
      <c r="T21" s="2" t="s">
        <v>154</v>
      </c>
      <c r="U21" s="2" t="s">
        <v>155</v>
      </c>
      <c r="V21" s="3">
        <f>IFERROR(IF(ISNUMBER(SEARCH('01_玩家问卷'!$B$4,D21)),20,0)+IF(ISNUMBER(SEARCH('01_玩家问卷'!$B$5,E21)),15,0)+IF(ISNUMBER(SEARCH('01_玩家问卷'!$B$7,F21)),15,0)+IF(ISNUMBER(SEARCH('01_玩家问卷'!$B$8,G21)),15,0)+IF(ISNUMBER(SEARCH('01_玩家问卷'!$B$9,H21)),15,0)+IF(I21='01_玩家问卷'!$B$6,10,IF(AND('01_玩家问卷'!$B$6="Low",I21="Medium"),5,IF(AND('01_玩家问卷'!$B$6="High",I21="Medium"),8,0)))+IF(AND('01_玩家问卷'!$B$10="2024 Core Only",J21&lt;&gt;"2024 PHB"),-40,IF(AND('01_玩家问卷'!$B$10="2024 + 2024 Expansions",ISNUMBER(SEARCH("Legacy",J21))),-50,0))+IF(AND('01_玩家问卷'!$B$11="No",ISNUMBER(SEARCH("Faerûn",J21))),-25,0)+IF(AND('01_玩家问卷'!$B$12&lt;&gt;"None",ISNUMBER(SEARCH('01_玩家问卷'!$B$12,U21))),-25,0)+ROW()/1000,0)</f>
        <v>50.021</v>
      </c>
      <c r="W21" s="2"/>
    </row>
    <row r="22" ht="26.4" customHeight="1" spans="1:23">
      <c r="A22" s="2">
        <v>21</v>
      </c>
      <c r="B22" s="2" t="s">
        <v>137</v>
      </c>
      <c r="C22" s="2" t="s">
        <v>370</v>
      </c>
      <c r="D22" s="2" t="s">
        <v>220</v>
      </c>
      <c r="E22" s="2" t="s">
        <v>183</v>
      </c>
      <c r="F22" s="2" t="s">
        <v>371</v>
      </c>
      <c r="G22" s="2" t="s">
        <v>372</v>
      </c>
      <c r="H22" s="2" t="s">
        <v>373</v>
      </c>
      <c r="I22" s="2" t="s">
        <v>90</v>
      </c>
      <c r="J22" s="2" t="s">
        <v>144</v>
      </c>
      <c r="K22" s="2" t="s">
        <v>225</v>
      </c>
      <c r="L22" s="2" t="s">
        <v>248</v>
      </c>
      <c r="M22" s="2" t="s">
        <v>374</v>
      </c>
      <c r="N22" s="2" t="s">
        <v>228</v>
      </c>
      <c r="O22" s="2" t="s">
        <v>229</v>
      </c>
      <c r="P22" s="2" t="s">
        <v>252</v>
      </c>
      <c r="Q22" s="2" t="s">
        <v>375</v>
      </c>
      <c r="R22" s="2" t="s">
        <v>376</v>
      </c>
      <c r="S22" s="2" t="s">
        <v>377</v>
      </c>
      <c r="T22" s="2" t="s">
        <v>154</v>
      </c>
      <c r="U22" s="2" t="s">
        <v>59</v>
      </c>
      <c r="V22" s="3">
        <f>IFERROR(IF(ISNUMBER(SEARCH('01_玩家问卷'!$B$4,D22)),20,0)+IF(ISNUMBER(SEARCH('01_玩家问卷'!$B$5,E22)),15,0)+IF(ISNUMBER(SEARCH('01_玩家问卷'!$B$7,F22)),15,0)+IF(ISNUMBER(SEARCH('01_玩家问卷'!$B$8,G22)),15,0)+IF(ISNUMBER(SEARCH('01_玩家问卷'!$B$9,H22)),15,0)+IF(I22='01_玩家问卷'!$B$6,10,IF(AND('01_玩家问卷'!$B$6="Low",I22="Medium"),5,IF(AND('01_玩家问卷'!$B$6="High",I22="Medium"),8,0)))+IF(AND('01_玩家问卷'!$B$10="2024 Core Only",J22&lt;&gt;"2024 PHB"),-40,IF(AND('01_玩家问卷'!$B$10="2024 + 2024 Expansions",ISNUMBER(SEARCH("Legacy",J22))),-50,0))+IF(AND('01_玩家问卷'!$B$11="No",ISNUMBER(SEARCH("Faerûn",J22))),-25,0)+IF(AND('01_玩家问卷'!$B$12&lt;&gt;"None",ISNUMBER(SEARCH('01_玩家问卷'!$B$12,U22))),-25,0)+ROW()/1000,0)</f>
        <v>20.022</v>
      </c>
      <c r="W22" s="2"/>
    </row>
    <row r="23" ht="26.4" customHeight="1" spans="1:23">
      <c r="A23" s="2">
        <v>22</v>
      </c>
      <c r="B23" s="2" t="s">
        <v>137</v>
      </c>
      <c r="C23" s="2" t="s">
        <v>378</v>
      </c>
      <c r="D23" s="2" t="s">
        <v>157</v>
      </c>
      <c r="E23" s="2" t="s">
        <v>158</v>
      </c>
      <c r="F23" s="2" t="s">
        <v>379</v>
      </c>
      <c r="G23" s="2" t="s">
        <v>185</v>
      </c>
      <c r="H23" s="2" t="s">
        <v>380</v>
      </c>
      <c r="I23" s="2" t="s">
        <v>90</v>
      </c>
      <c r="J23" s="2" t="s">
        <v>144</v>
      </c>
      <c r="K23" s="2" t="s">
        <v>381</v>
      </c>
      <c r="L23" s="2" t="s">
        <v>300</v>
      </c>
      <c r="M23" s="2" t="s">
        <v>382</v>
      </c>
      <c r="N23" s="2" t="s">
        <v>163</v>
      </c>
      <c r="O23" s="2" t="s">
        <v>164</v>
      </c>
      <c r="P23" s="2" t="s">
        <v>383</v>
      </c>
      <c r="Q23" s="2" t="s">
        <v>384</v>
      </c>
      <c r="R23" s="2" t="s">
        <v>385</v>
      </c>
      <c r="S23" s="2" t="s">
        <v>386</v>
      </c>
      <c r="T23" s="2" t="s">
        <v>154</v>
      </c>
      <c r="U23" s="2" t="s">
        <v>155</v>
      </c>
      <c r="V23" s="3">
        <f>IFERROR(IF(ISNUMBER(SEARCH('01_玩家问卷'!$B$4,D23)),20,0)+IF(ISNUMBER(SEARCH('01_玩家问卷'!$B$5,E23)),15,0)+IF(ISNUMBER(SEARCH('01_玩家问卷'!$B$7,F23)),15,0)+IF(ISNUMBER(SEARCH('01_玩家问卷'!$B$8,G23)),15,0)+IF(ISNUMBER(SEARCH('01_玩家问卷'!$B$9,H23)),15,0)+IF(I23='01_玩家问卷'!$B$6,10,IF(AND('01_玩家问卷'!$B$6="Low",I23="Medium"),5,IF(AND('01_玩家问卷'!$B$6="High",I23="Medium"),8,0)))+IF(AND('01_玩家问卷'!$B$10="2024 Core Only",J23&lt;&gt;"2024 PHB"),-40,IF(AND('01_玩家问卷'!$B$10="2024 + 2024 Expansions",ISNUMBER(SEARCH("Legacy",J23))),-50,0))+IF(AND('01_玩家问卷'!$B$11="No",ISNUMBER(SEARCH("Faerûn",J23))),-25,0)+IF(AND('01_玩家问卷'!$B$12&lt;&gt;"None",ISNUMBER(SEARCH('01_玩家问卷'!$B$12,U23))),-25,0)+ROW()/1000,0)</f>
        <v>40.023</v>
      </c>
      <c r="W23" s="2"/>
    </row>
    <row r="24" ht="26.4" customHeight="1" spans="1:23">
      <c r="A24" s="2">
        <v>23</v>
      </c>
      <c r="B24" s="2" t="s">
        <v>137</v>
      </c>
      <c r="C24" s="2" t="s">
        <v>387</v>
      </c>
      <c r="D24" s="2" t="s">
        <v>170</v>
      </c>
      <c r="E24" s="2" t="s">
        <v>158</v>
      </c>
      <c r="F24" s="2" t="s">
        <v>388</v>
      </c>
      <c r="G24" s="2" t="s">
        <v>389</v>
      </c>
      <c r="H24" s="2" t="s">
        <v>390</v>
      </c>
      <c r="I24" s="2" t="s">
        <v>95</v>
      </c>
      <c r="J24" s="2" t="s">
        <v>144</v>
      </c>
      <c r="K24" s="2" t="s">
        <v>200</v>
      </c>
      <c r="L24" s="2" t="s">
        <v>146</v>
      </c>
      <c r="M24" s="2" t="s">
        <v>391</v>
      </c>
      <c r="N24" s="2" t="s">
        <v>392</v>
      </c>
      <c r="O24" s="2" t="s">
        <v>393</v>
      </c>
      <c r="P24" s="2" t="s">
        <v>394</v>
      </c>
      <c r="Q24" s="2" t="s">
        <v>395</v>
      </c>
      <c r="R24" s="2" t="s">
        <v>396</v>
      </c>
      <c r="S24" s="2" t="s">
        <v>397</v>
      </c>
      <c r="T24" s="2" t="s">
        <v>154</v>
      </c>
      <c r="U24" s="2" t="s">
        <v>155</v>
      </c>
      <c r="V24" s="3">
        <f>IFERROR(IF(ISNUMBER(SEARCH('01_玩家问卷'!$B$4,D24)),20,0)+IF(ISNUMBER(SEARCH('01_玩家问卷'!$B$5,E24)),15,0)+IF(ISNUMBER(SEARCH('01_玩家问卷'!$B$7,F24)),15,0)+IF(ISNUMBER(SEARCH('01_玩家问卷'!$B$8,G24)),15,0)+IF(ISNUMBER(SEARCH('01_玩家问卷'!$B$9,H24)),15,0)+IF(I24='01_玩家问卷'!$B$6,10,IF(AND('01_玩家问卷'!$B$6="Low",I24="Medium"),5,IF(AND('01_玩家问卷'!$B$6="High",I24="Medium"),8,0)))+IF(AND('01_玩家问卷'!$B$10="2024 Core Only",J24&lt;&gt;"2024 PHB"),-40,IF(AND('01_玩家问卷'!$B$10="2024 + 2024 Expansions",ISNUMBER(SEARCH("Legacy",J24))),-50,0))+IF(AND('01_玩家问卷'!$B$11="No",ISNUMBER(SEARCH("Faerûn",J24))),-25,0)+IF(AND('01_玩家问卷'!$B$12&lt;&gt;"None",ISNUMBER(SEARCH('01_玩家问卷'!$B$12,U24))),-25,0)+ROW()/1000,0)</f>
        <v>50.024</v>
      </c>
      <c r="W24" s="2"/>
    </row>
    <row r="25" ht="26.4" customHeight="1" spans="1:23">
      <c r="A25" s="2">
        <v>24</v>
      </c>
      <c r="B25" s="2" t="s">
        <v>137</v>
      </c>
      <c r="C25" s="2" t="s">
        <v>398</v>
      </c>
      <c r="D25" s="2" t="s">
        <v>170</v>
      </c>
      <c r="E25" s="2" t="s">
        <v>158</v>
      </c>
      <c r="F25" s="2" t="s">
        <v>399</v>
      </c>
      <c r="G25" s="2" t="s">
        <v>400</v>
      </c>
      <c r="H25" s="2" t="s">
        <v>401</v>
      </c>
      <c r="I25" s="2" t="s">
        <v>90</v>
      </c>
      <c r="J25" s="2" t="s">
        <v>144</v>
      </c>
      <c r="K25" s="2" t="s">
        <v>209</v>
      </c>
      <c r="L25" s="2" t="s">
        <v>226</v>
      </c>
      <c r="M25" s="2" t="s">
        <v>402</v>
      </c>
      <c r="N25" s="2" t="s">
        <v>238</v>
      </c>
      <c r="O25" s="2" t="s">
        <v>164</v>
      </c>
      <c r="P25" s="2" t="s">
        <v>403</v>
      </c>
      <c r="Q25" s="2" t="s">
        <v>404</v>
      </c>
      <c r="R25" s="2" t="s">
        <v>405</v>
      </c>
      <c r="S25" s="2" t="s">
        <v>406</v>
      </c>
      <c r="T25" s="2" t="s">
        <v>154</v>
      </c>
      <c r="U25" s="2" t="s">
        <v>218</v>
      </c>
      <c r="V25" s="3">
        <f>IFERROR(IF(ISNUMBER(SEARCH('01_玩家问卷'!$B$4,D25)),20,0)+IF(ISNUMBER(SEARCH('01_玩家问卷'!$B$5,E25)),15,0)+IF(ISNUMBER(SEARCH('01_玩家问卷'!$B$7,F25)),15,0)+IF(ISNUMBER(SEARCH('01_玩家问卷'!$B$8,G25)),15,0)+IF(ISNUMBER(SEARCH('01_玩家问卷'!$B$9,H25)),15,0)+IF(I25='01_玩家问卷'!$B$6,10,IF(AND('01_玩家问卷'!$B$6="Low",I25="Medium"),5,IF(AND('01_玩家问卷'!$B$6="High",I25="Medium"),8,0)))+IF(AND('01_玩家问卷'!$B$10="2024 Core Only",J25&lt;&gt;"2024 PHB"),-40,IF(AND('01_玩家问卷'!$B$10="2024 + 2024 Expansions",ISNUMBER(SEARCH("Legacy",J25))),-50,0))+IF(AND('01_玩家问卷'!$B$11="No",ISNUMBER(SEARCH("Faerûn",J25))),-25,0)+IF(AND('01_玩家问卷'!$B$12&lt;&gt;"None",ISNUMBER(SEARCH('01_玩家问卷'!$B$12,U25))),-25,0)+ROW()/1000,0)</f>
        <v>55.025</v>
      </c>
      <c r="W25" s="2"/>
    </row>
    <row r="26" ht="26.4" customHeight="1" spans="1:23">
      <c r="A26" s="2">
        <v>25</v>
      </c>
      <c r="B26" s="2" t="s">
        <v>407</v>
      </c>
      <c r="C26" s="2" t="s">
        <v>408</v>
      </c>
      <c r="D26" s="2" t="s">
        <v>296</v>
      </c>
      <c r="E26" s="2" t="s">
        <v>271</v>
      </c>
      <c r="F26" s="2" t="s">
        <v>409</v>
      </c>
      <c r="G26" s="2" t="s">
        <v>410</v>
      </c>
      <c r="H26" s="2" t="s">
        <v>411</v>
      </c>
      <c r="I26" s="2" t="s">
        <v>275</v>
      </c>
      <c r="J26" s="2" t="s">
        <v>412</v>
      </c>
      <c r="K26" s="2" t="s">
        <v>209</v>
      </c>
      <c r="L26" s="2" t="s">
        <v>276</v>
      </c>
      <c r="M26" s="2" t="s">
        <v>413</v>
      </c>
      <c r="N26" s="2" t="s">
        <v>291</v>
      </c>
      <c r="O26" s="2" t="s">
        <v>251</v>
      </c>
      <c r="P26" s="2" t="s">
        <v>414</v>
      </c>
      <c r="Q26" s="2" t="s">
        <v>415</v>
      </c>
      <c r="R26" s="2" t="s">
        <v>416</v>
      </c>
      <c r="S26" s="2" t="s">
        <v>417</v>
      </c>
      <c r="T26" s="2" t="s">
        <v>418</v>
      </c>
      <c r="U26" s="2" t="s">
        <v>419</v>
      </c>
      <c r="V26" s="3">
        <f>IFERROR(IF(ISNUMBER(SEARCH('01_玩家问卷'!$B$4,D26)),20,0)+IF(ISNUMBER(SEARCH('01_玩家问卷'!$B$5,E26)),15,0)+IF(ISNUMBER(SEARCH('01_玩家问卷'!$B$7,F26)),15,0)+IF(ISNUMBER(SEARCH('01_玩家问卷'!$B$8,G26)),15,0)+IF(ISNUMBER(SEARCH('01_玩家问卷'!$B$9,H26)),15,0)+IF(I26='01_玩家问卷'!$B$6,10,IF(AND('01_玩家问卷'!$B$6="Low",I26="Medium"),5,IF(AND('01_玩家问卷'!$B$6="High",I26="Medium"),8,0)))+IF(AND('01_玩家问卷'!$B$10="2024 Core Only",J26&lt;&gt;"2024 PHB"),-40,IF(AND('01_玩家问卷'!$B$10="2024 + 2024 Expansions",ISNUMBER(SEARCH("Legacy",J26))),-50,0))+IF(AND('01_玩家问卷'!$B$11="No",ISNUMBER(SEARCH("Faerûn",J26))),-25,0)+IF(AND('01_玩家问卷'!$B$12&lt;&gt;"None",ISNUMBER(SEARCH('01_玩家问卷'!$B$12,U26))),-25,0)+ROW()/1000,0)</f>
        <v>10.026</v>
      </c>
      <c r="W26" s="2"/>
    </row>
    <row r="27" ht="26.4" customHeight="1" spans="1:23">
      <c r="A27" s="2">
        <v>26</v>
      </c>
      <c r="B27" s="2" t="s">
        <v>407</v>
      </c>
      <c r="C27" s="2" t="s">
        <v>420</v>
      </c>
      <c r="D27" s="2" t="s">
        <v>170</v>
      </c>
      <c r="E27" s="2" t="s">
        <v>183</v>
      </c>
      <c r="F27" s="2" t="s">
        <v>421</v>
      </c>
      <c r="G27" s="2" t="s">
        <v>422</v>
      </c>
      <c r="H27" s="2" t="s">
        <v>423</v>
      </c>
      <c r="I27" s="2" t="s">
        <v>90</v>
      </c>
      <c r="J27" s="2" t="s">
        <v>412</v>
      </c>
      <c r="K27" s="2" t="s">
        <v>145</v>
      </c>
      <c r="L27" s="2" t="s">
        <v>146</v>
      </c>
      <c r="M27" s="2" t="s">
        <v>424</v>
      </c>
      <c r="N27" s="2" t="s">
        <v>359</v>
      </c>
      <c r="O27" s="2" t="s">
        <v>251</v>
      </c>
      <c r="P27" s="2" t="s">
        <v>425</v>
      </c>
      <c r="Q27" s="2" t="s">
        <v>426</v>
      </c>
      <c r="R27" s="2" t="s">
        <v>427</v>
      </c>
      <c r="S27" s="2" t="s">
        <v>428</v>
      </c>
      <c r="T27" s="2" t="s">
        <v>429</v>
      </c>
      <c r="U27" s="2" t="s">
        <v>155</v>
      </c>
      <c r="V27" s="3">
        <f>IFERROR(IF(ISNUMBER(SEARCH('01_玩家问卷'!$B$4,D27)),20,0)+IF(ISNUMBER(SEARCH('01_玩家问卷'!$B$5,E27)),15,0)+IF(ISNUMBER(SEARCH('01_玩家问卷'!$B$7,F27)),15,0)+IF(ISNUMBER(SEARCH('01_玩家问卷'!$B$8,G27)),15,0)+IF(ISNUMBER(SEARCH('01_玩家问卷'!$B$9,H27)),15,0)+IF(I27='01_玩家问卷'!$B$6,10,IF(AND('01_玩家问卷'!$B$6="Low",I27="Medium"),5,IF(AND('01_玩家问卷'!$B$6="High",I27="Medium"),8,0)))+IF(AND('01_玩家问卷'!$B$10="2024 Core Only",J27&lt;&gt;"2024 PHB"),-40,IF(AND('01_玩家问卷'!$B$10="2024 + 2024 Expansions",ISNUMBER(SEARCH("Legacy",J27))),-50,0))+IF(AND('01_玩家问卷'!$B$11="No",ISNUMBER(SEARCH("Faerûn",J27))),-25,0)+IF(AND('01_玩家问卷'!$B$12&lt;&gt;"None",ISNUMBER(SEARCH('01_玩家问卷'!$B$12,U27))),-25,0)+ROW()/1000,0)</f>
        <v>0.027</v>
      </c>
      <c r="W27" s="2"/>
    </row>
    <row r="28" ht="26.4" customHeight="1" spans="1:23">
      <c r="A28" s="2">
        <v>27</v>
      </c>
      <c r="B28" s="2" t="s">
        <v>407</v>
      </c>
      <c r="C28" s="2" t="s">
        <v>430</v>
      </c>
      <c r="D28" s="2" t="s">
        <v>170</v>
      </c>
      <c r="E28" s="2" t="s">
        <v>158</v>
      </c>
      <c r="F28" s="2" t="s">
        <v>431</v>
      </c>
      <c r="G28" s="2" t="s">
        <v>432</v>
      </c>
      <c r="H28" s="2" t="s">
        <v>433</v>
      </c>
      <c r="I28" s="2" t="s">
        <v>90</v>
      </c>
      <c r="J28" s="2" t="s">
        <v>412</v>
      </c>
      <c r="K28" s="2" t="s">
        <v>145</v>
      </c>
      <c r="L28" s="2" t="s">
        <v>300</v>
      </c>
      <c r="M28" s="2" t="s">
        <v>434</v>
      </c>
      <c r="N28" s="2" t="s">
        <v>278</v>
      </c>
      <c r="O28" s="2" t="s">
        <v>279</v>
      </c>
      <c r="P28" s="2" t="s">
        <v>435</v>
      </c>
      <c r="Q28" s="2" t="s">
        <v>436</v>
      </c>
      <c r="R28" s="2" t="s">
        <v>437</v>
      </c>
      <c r="S28" s="2" t="s">
        <v>438</v>
      </c>
      <c r="T28" s="2" t="s">
        <v>439</v>
      </c>
      <c r="U28" s="2" t="s">
        <v>155</v>
      </c>
      <c r="V28" s="3">
        <f>IFERROR(IF(ISNUMBER(SEARCH('01_玩家问卷'!$B$4,D28)),20,0)+IF(ISNUMBER(SEARCH('01_玩家问卷'!$B$5,E28)),15,0)+IF(ISNUMBER(SEARCH('01_玩家问卷'!$B$7,F28)),15,0)+IF(ISNUMBER(SEARCH('01_玩家问卷'!$B$8,G28)),15,0)+IF(ISNUMBER(SEARCH('01_玩家问卷'!$B$9,H28)),15,0)+IF(I28='01_玩家问卷'!$B$6,10,IF(AND('01_玩家问卷'!$B$6="Low",I28="Medium"),5,IF(AND('01_玩家问卷'!$B$6="High",I28="Medium"),8,0)))+IF(AND('01_玩家问卷'!$B$10="2024 Core Only",J28&lt;&gt;"2024 PHB"),-40,IF(AND('01_玩家问卷'!$B$10="2024 + 2024 Expansions",ISNUMBER(SEARCH("Legacy",J28))),-50,0))+IF(AND('01_玩家问卷'!$B$11="No",ISNUMBER(SEARCH("Faerûn",J28))),-25,0)+IF(AND('01_玩家问卷'!$B$12&lt;&gt;"None",ISNUMBER(SEARCH('01_玩家问卷'!$B$12,U28))),-25,0)+ROW()/1000,0)</f>
        <v>15.028</v>
      </c>
      <c r="W28" s="2"/>
    </row>
    <row r="29" ht="26.4" customHeight="1" spans="1:23">
      <c r="A29" s="2">
        <v>28</v>
      </c>
      <c r="B29" s="2" t="s">
        <v>407</v>
      </c>
      <c r="C29" s="2" t="s">
        <v>440</v>
      </c>
      <c r="D29" s="2" t="s">
        <v>170</v>
      </c>
      <c r="E29" s="2" t="s">
        <v>271</v>
      </c>
      <c r="F29" s="2" t="s">
        <v>441</v>
      </c>
      <c r="G29" s="2" t="s">
        <v>442</v>
      </c>
      <c r="H29" s="2" t="s">
        <v>443</v>
      </c>
      <c r="I29" s="2" t="s">
        <v>275</v>
      </c>
      <c r="J29" s="2" t="s">
        <v>412</v>
      </c>
      <c r="K29" s="2" t="s">
        <v>145</v>
      </c>
      <c r="L29" s="2" t="s">
        <v>357</v>
      </c>
      <c r="M29" s="2" t="s">
        <v>444</v>
      </c>
      <c r="N29" s="2" t="s">
        <v>278</v>
      </c>
      <c r="O29" s="2" t="s">
        <v>279</v>
      </c>
      <c r="P29" s="2" t="s">
        <v>252</v>
      </c>
      <c r="Q29" s="2" t="s">
        <v>445</v>
      </c>
      <c r="R29" s="2" t="s">
        <v>446</v>
      </c>
      <c r="S29" s="2" t="s">
        <v>447</v>
      </c>
      <c r="T29" s="2" t="s">
        <v>448</v>
      </c>
      <c r="U29" s="2" t="s">
        <v>326</v>
      </c>
      <c r="V29" s="3">
        <f>IFERROR(IF(ISNUMBER(SEARCH('01_玩家问卷'!$B$4,D29)),20,0)+IF(ISNUMBER(SEARCH('01_玩家问卷'!$B$5,E29)),15,0)+IF(ISNUMBER(SEARCH('01_玩家问卷'!$B$7,F29)),15,0)+IF(ISNUMBER(SEARCH('01_玩家问卷'!$B$8,G29)),15,0)+IF(ISNUMBER(SEARCH('01_玩家问卷'!$B$9,H29)),15,0)+IF(I29='01_玩家问卷'!$B$6,10,IF(AND('01_玩家问卷'!$B$6="Low",I29="Medium"),5,IF(AND('01_玩家问卷'!$B$6="High",I29="Medium"),8,0)))+IF(AND('01_玩家问卷'!$B$10="2024 Core Only",J29&lt;&gt;"2024 PHB"),-40,IF(AND('01_玩家问卷'!$B$10="2024 + 2024 Expansions",ISNUMBER(SEARCH("Legacy",J29))),-50,0))+IF(AND('01_玩家问卷'!$B$11="No",ISNUMBER(SEARCH("Faerûn",J29))),-25,0)+IF(AND('01_玩家问卷'!$B$12&lt;&gt;"None",ISNUMBER(SEARCH('01_玩家问卷'!$B$12,U29))),-25,0)+ROW()/1000,0)</f>
        <v>10.029</v>
      </c>
      <c r="W29" s="2"/>
    </row>
    <row r="30" ht="26.4" customHeight="1" spans="1:23">
      <c r="A30" s="2">
        <v>29</v>
      </c>
      <c r="B30" s="2" t="s">
        <v>407</v>
      </c>
      <c r="C30" s="2" t="s">
        <v>449</v>
      </c>
      <c r="D30" s="2" t="s">
        <v>170</v>
      </c>
      <c r="E30" s="2" t="s">
        <v>158</v>
      </c>
      <c r="F30" s="2" t="s">
        <v>450</v>
      </c>
      <c r="G30" s="2" t="s">
        <v>451</v>
      </c>
      <c r="H30" s="2" t="s">
        <v>423</v>
      </c>
      <c r="I30" s="2" t="s">
        <v>90</v>
      </c>
      <c r="J30" s="2" t="s">
        <v>412</v>
      </c>
      <c r="K30" s="2" t="s">
        <v>145</v>
      </c>
      <c r="L30" s="2" t="s">
        <v>188</v>
      </c>
      <c r="M30" s="2" t="s">
        <v>452</v>
      </c>
      <c r="N30" s="2" t="s">
        <v>359</v>
      </c>
      <c r="O30" s="2" t="s">
        <v>251</v>
      </c>
      <c r="P30" s="2" t="s">
        <v>425</v>
      </c>
      <c r="Q30" s="2" t="s">
        <v>453</v>
      </c>
      <c r="R30" s="2" t="s">
        <v>454</v>
      </c>
      <c r="S30" s="2" t="s">
        <v>455</v>
      </c>
      <c r="T30" s="2" t="s">
        <v>448</v>
      </c>
      <c r="U30" s="2" t="s">
        <v>155</v>
      </c>
      <c r="V30" s="3">
        <f>IFERROR(IF(ISNUMBER(SEARCH('01_玩家问卷'!$B$4,D30)),20,0)+IF(ISNUMBER(SEARCH('01_玩家问卷'!$B$5,E30)),15,0)+IF(ISNUMBER(SEARCH('01_玩家问卷'!$B$7,F30)),15,0)+IF(ISNUMBER(SEARCH('01_玩家问卷'!$B$8,G30)),15,0)+IF(ISNUMBER(SEARCH('01_玩家问卷'!$B$9,H30)),15,0)+IF(I30='01_玩家问卷'!$B$6,10,IF(AND('01_玩家问卷'!$B$6="Low",I30="Medium"),5,IF(AND('01_玩家问卷'!$B$6="High",I30="Medium"),8,0)))+IF(AND('01_玩家问卷'!$B$10="2024 Core Only",J30&lt;&gt;"2024 PHB"),-40,IF(AND('01_玩家问卷'!$B$10="2024 + 2024 Expansions",ISNUMBER(SEARCH("Legacy",J30))),-50,0))+IF(AND('01_玩家问卷'!$B$11="No",ISNUMBER(SEARCH("Faerûn",J30))),-25,0)+IF(AND('01_玩家问卷'!$B$12&lt;&gt;"None",ISNUMBER(SEARCH('01_玩家问卷'!$B$12,U30))),-25,0)+ROW()/1000,0)</f>
        <v>0.03</v>
      </c>
      <c r="W30" s="2"/>
    </row>
    <row r="31" ht="26.4" customHeight="1" spans="1:23">
      <c r="A31" s="2">
        <v>30</v>
      </c>
      <c r="B31" s="2" t="s">
        <v>407</v>
      </c>
      <c r="C31" s="2" t="s">
        <v>456</v>
      </c>
      <c r="D31" s="2" t="s">
        <v>170</v>
      </c>
      <c r="E31" s="2" t="s">
        <v>158</v>
      </c>
      <c r="F31" s="2" t="s">
        <v>457</v>
      </c>
      <c r="G31" s="2" t="s">
        <v>458</v>
      </c>
      <c r="H31" s="2" t="s">
        <v>459</v>
      </c>
      <c r="I31" s="2" t="s">
        <v>90</v>
      </c>
      <c r="J31" s="2" t="s">
        <v>412</v>
      </c>
      <c r="K31" s="2" t="s">
        <v>209</v>
      </c>
      <c r="L31" s="2" t="s">
        <v>210</v>
      </c>
      <c r="M31" s="2" t="s">
        <v>460</v>
      </c>
      <c r="N31" s="2" t="s">
        <v>212</v>
      </c>
      <c r="O31" s="2" t="s">
        <v>213</v>
      </c>
      <c r="P31" s="2" t="s">
        <v>461</v>
      </c>
      <c r="Q31" s="2" t="s">
        <v>462</v>
      </c>
      <c r="R31" s="2" t="s">
        <v>463</v>
      </c>
      <c r="S31" s="2" t="s">
        <v>464</v>
      </c>
      <c r="T31" s="2" t="s">
        <v>448</v>
      </c>
      <c r="U31" s="2" t="s">
        <v>218</v>
      </c>
      <c r="V31" s="3">
        <f>IFERROR(IF(ISNUMBER(SEARCH('01_玩家问卷'!$B$4,D31)),20,0)+IF(ISNUMBER(SEARCH('01_玩家问卷'!$B$5,E31)),15,0)+IF(ISNUMBER(SEARCH('01_玩家问卷'!$B$7,F31)),15,0)+IF(ISNUMBER(SEARCH('01_玩家问卷'!$B$8,G31)),15,0)+IF(ISNUMBER(SEARCH('01_玩家问卷'!$B$9,H31)),15,0)+IF(I31='01_玩家问卷'!$B$6,10,IF(AND('01_玩家问卷'!$B$6="Low",I31="Medium"),5,IF(AND('01_玩家问卷'!$B$6="High",I31="Medium"),8,0)))+IF(AND('01_玩家问卷'!$B$10="2024 Core Only",J31&lt;&gt;"2024 PHB"),-40,IF(AND('01_玩家问卷'!$B$10="2024 + 2024 Expansions",ISNUMBER(SEARCH("Legacy",J31))),-50,0))+IF(AND('01_玩家问卷'!$B$11="No",ISNUMBER(SEARCH("Faerûn",J31))),-25,0)+IF(AND('01_玩家问卷'!$B$12&lt;&gt;"None",ISNUMBER(SEARCH('01_玩家问卷'!$B$12,U31))),-25,0)+ROW()/1000,0)</f>
        <v>15.031</v>
      </c>
      <c r="W31" s="2"/>
    </row>
    <row r="32" ht="39.6" customHeight="1" spans="1:23">
      <c r="A32" s="2">
        <v>31</v>
      </c>
      <c r="B32" s="2" t="s">
        <v>407</v>
      </c>
      <c r="C32" s="2" t="s">
        <v>465</v>
      </c>
      <c r="D32" s="2" t="s">
        <v>170</v>
      </c>
      <c r="E32" s="2" t="s">
        <v>271</v>
      </c>
      <c r="F32" s="2" t="s">
        <v>466</v>
      </c>
      <c r="G32" s="2" t="s">
        <v>467</v>
      </c>
      <c r="H32" s="2" t="s">
        <v>468</v>
      </c>
      <c r="I32" s="2" t="s">
        <v>95</v>
      </c>
      <c r="J32" s="2" t="s">
        <v>412</v>
      </c>
      <c r="K32" s="2" t="s">
        <v>247</v>
      </c>
      <c r="L32" s="2" t="s">
        <v>226</v>
      </c>
      <c r="M32" s="2" t="s">
        <v>469</v>
      </c>
      <c r="N32" s="2" t="s">
        <v>238</v>
      </c>
      <c r="O32" s="2" t="s">
        <v>164</v>
      </c>
      <c r="P32" s="2" t="s">
        <v>470</v>
      </c>
      <c r="Q32" s="2" t="s">
        <v>471</v>
      </c>
      <c r="R32" s="2" t="s">
        <v>472</v>
      </c>
      <c r="S32" s="2" t="s">
        <v>473</v>
      </c>
      <c r="T32" s="2" t="s">
        <v>448</v>
      </c>
      <c r="U32" s="2" t="s">
        <v>218</v>
      </c>
      <c r="V32" s="3">
        <f>IFERROR(IF(ISNUMBER(SEARCH('01_玩家问卷'!$B$4,D32)),20,0)+IF(ISNUMBER(SEARCH('01_玩家问卷'!$B$5,E32)),15,0)+IF(ISNUMBER(SEARCH('01_玩家问卷'!$B$7,F32)),15,0)+IF(ISNUMBER(SEARCH('01_玩家问卷'!$B$8,G32)),15,0)+IF(ISNUMBER(SEARCH('01_玩家问卷'!$B$9,H32)),15,0)+IF(I32='01_玩家问卷'!$B$6,10,IF(AND('01_玩家问卷'!$B$6="Low",I32="Medium"),5,IF(AND('01_玩家问卷'!$B$6="High",I32="Medium"),8,0)))+IF(AND('01_玩家问卷'!$B$10="2024 Core Only",J32&lt;&gt;"2024 PHB"),-40,IF(AND('01_玩家问卷'!$B$10="2024 + 2024 Expansions",ISNUMBER(SEARCH("Legacy",J32))),-50,0))+IF(AND('01_玩家问卷'!$B$11="No",ISNUMBER(SEARCH("Faerûn",J32))),-25,0)+IF(AND('01_玩家问卷'!$B$12&lt;&gt;"None",ISNUMBER(SEARCH('01_玩家问卷'!$B$12,U32))),-25,0)+ROW()/1000,0)</f>
        <v>25.032</v>
      </c>
      <c r="W32" s="2"/>
    </row>
    <row r="33" ht="26.4" customHeight="1" spans="1:23">
      <c r="A33" s="2">
        <v>32</v>
      </c>
      <c r="B33" s="2" t="s">
        <v>474</v>
      </c>
      <c r="C33" s="2" t="s">
        <v>475</v>
      </c>
      <c r="D33" s="2" t="s">
        <v>139</v>
      </c>
      <c r="E33" s="2" t="s">
        <v>140</v>
      </c>
      <c r="F33" s="2" t="s">
        <v>476</v>
      </c>
      <c r="G33" s="2" t="s">
        <v>172</v>
      </c>
      <c r="H33" s="2" t="s">
        <v>143</v>
      </c>
      <c r="I33" s="2" t="s">
        <v>41</v>
      </c>
      <c r="J33" s="2" t="s">
        <v>477</v>
      </c>
      <c r="K33" s="2" t="s">
        <v>478</v>
      </c>
      <c r="L33" s="2" t="s">
        <v>146</v>
      </c>
      <c r="M33" s="2" t="s">
        <v>147</v>
      </c>
      <c r="N33" s="2" t="s">
        <v>148</v>
      </c>
      <c r="O33" s="2" t="s">
        <v>149</v>
      </c>
      <c r="P33" s="2" t="s">
        <v>479</v>
      </c>
      <c r="Q33" s="2" t="s">
        <v>480</v>
      </c>
      <c r="R33" s="2" t="s">
        <v>481</v>
      </c>
      <c r="S33" s="2" t="s">
        <v>482</v>
      </c>
      <c r="T33" s="2" t="s">
        <v>483</v>
      </c>
      <c r="U33" s="2" t="s">
        <v>155</v>
      </c>
      <c r="V33" s="3">
        <f>IFERROR(IF(ISNUMBER(SEARCH('01_玩家问卷'!$B$4,D33)),20,0)+IF(ISNUMBER(SEARCH('01_玩家问卷'!$B$5,E33)),15,0)+IF(ISNUMBER(SEARCH('01_玩家问卷'!$B$7,F33)),15,0)+IF(ISNUMBER(SEARCH('01_玩家问卷'!$B$8,G33)),15,0)+IF(ISNUMBER(SEARCH('01_玩家问卷'!$B$9,H33)),15,0)+IF(I33='01_玩家问卷'!$B$6,10,IF(AND('01_玩家问卷'!$B$6="Low",I33="Medium"),5,IF(AND('01_玩家问卷'!$B$6="High",I33="Medium"),8,0)))+IF(AND('01_玩家问卷'!$B$10="2024 Core Only",J33&lt;&gt;"2024 PHB"),-40,IF(AND('01_玩家问卷'!$B$10="2024 + 2024 Expansions",ISNUMBER(SEARCH("Legacy",J33))),-50,0))+IF(AND('01_玩家问卷'!$B$11="No",ISNUMBER(SEARCH("Faerûn",J33))),-25,0)+IF(AND('01_玩家问卷'!$B$12&lt;&gt;"None",ISNUMBER(SEARCH('01_玩家问卷'!$B$12,U33))),-25,0)+ROW()/1000,0)</f>
        <v>-29.967</v>
      </c>
      <c r="W33" s="2"/>
    </row>
    <row r="34" ht="26.4" customHeight="1" spans="1:23">
      <c r="A34" s="2">
        <v>33</v>
      </c>
      <c r="B34" s="2" t="s">
        <v>474</v>
      </c>
      <c r="C34" s="2" t="s">
        <v>484</v>
      </c>
      <c r="D34" s="2" t="s">
        <v>170</v>
      </c>
      <c r="E34" s="2" t="s">
        <v>271</v>
      </c>
      <c r="F34" s="2" t="s">
        <v>485</v>
      </c>
      <c r="G34" s="2" t="s">
        <v>486</v>
      </c>
      <c r="H34" s="2" t="s">
        <v>487</v>
      </c>
      <c r="I34" s="2" t="s">
        <v>95</v>
      </c>
      <c r="J34" s="2" t="s">
        <v>488</v>
      </c>
      <c r="K34" s="2" t="s">
        <v>381</v>
      </c>
      <c r="L34" s="2" t="s">
        <v>300</v>
      </c>
      <c r="M34" s="2" t="s">
        <v>489</v>
      </c>
      <c r="N34" s="2" t="s">
        <v>190</v>
      </c>
      <c r="O34" s="2" t="s">
        <v>191</v>
      </c>
      <c r="P34" s="2" t="s">
        <v>490</v>
      </c>
      <c r="Q34" s="2" t="s">
        <v>491</v>
      </c>
      <c r="R34" s="2" t="s">
        <v>492</v>
      </c>
      <c r="S34" s="2" t="s">
        <v>493</v>
      </c>
      <c r="T34" s="2" t="s">
        <v>494</v>
      </c>
      <c r="U34" s="2" t="s">
        <v>155</v>
      </c>
      <c r="V34" s="3">
        <f>IFERROR(IF(ISNUMBER(SEARCH('01_玩家问卷'!$B$4,D34)),20,0)+IF(ISNUMBER(SEARCH('01_玩家问卷'!$B$5,E34)),15,0)+IF(ISNUMBER(SEARCH('01_玩家问卷'!$B$7,F34)),15,0)+IF(ISNUMBER(SEARCH('01_玩家问卷'!$B$8,G34)),15,0)+IF(ISNUMBER(SEARCH('01_玩家问卷'!$B$9,H34)),15,0)+IF(I34='01_玩家问卷'!$B$6,10,IF(AND('01_玩家问卷'!$B$6="Low",I34="Medium"),5,IF(AND('01_玩家问卷'!$B$6="High",I34="Medium"),8,0)))+IF(AND('01_玩家问卷'!$B$10="2024 Core Only",J34&lt;&gt;"2024 PHB"),-40,IF(AND('01_玩家问卷'!$B$10="2024 + 2024 Expansions",ISNUMBER(SEARCH("Legacy",J34))),-50,0))+IF(AND('01_玩家问卷'!$B$11="No",ISNUMBER(SEARCH("Faerûn",J34))),-25,0)+IF(AND('01_玩家问卷'!$B$12&lt;&gt;"None",ISNUMBER(SEARCH('01_玩家问卷'!$B$12,U34))),-25,0)+ROW()/1000,0)</f>
        <v>-4.966</v>
      </c>
      <c r="W34" s="2"/>
    </row>
    <row r="35" ht="26.4" customHeight="1" spans="1:23">
      <c r="A35" s="2">
        <v>34</v>
      </c>
      <c r="B35" s="2" t="s">
        <v>474</v>
      </c>
      <c r="C35" s="2" t="s">
        <v>495</v>
      </c>
      <c r="D35" s="2" t="s">
        <v>220</v>
      </c>
      <c r="E35" s="2" t="s">
        <v>271</v>
      </c>
      <c r="F35" s="2" t="s">
        <v>496</v>
      </c>
      <c r="G35" s="2" t="s">
        <v>273</v>
      </c>
      <c r="H35" s="2" t="s">
        <v>288</v>
      </c>
      <c r="I35" s="2" t="s">
        <v>275</v>
      </c>
      <c r="J35" s="2" t="s">
        <v>488</v>
      </c>
      <c r="K35" s="2" t="s">
        <v>145</v>
      </c>
      <c r="L35" s="2" t="s">
        <v>276</v>
      </c>
      <c r="M35" s="2" t="s">
        <v>497</v>
      </c>
      <c r="N35" s="2" t="s">
        <v>278</v>
      </c>
      <c r="O35" s="2" t="s">
        <v>279</v>
      </c>
      <c r="P35" s="2" t="s">
        <v>280</v>
      </c>
      <c r="Q35" s="2" t="s">
        <v>498</v>
      </c>
      <c r="R35" s="2" t="s">
        <v>499</v>
      </c>
      <c r="S35" s="2" t="s">
        <v>500</v>
      </c>
      <c r="T35" s="2" t="s">
        <v>501</v>
      </c>
      <c r="U35" s="2" t="s">
        <v>419</v>
      </c>
      <c r="V35" s="3">
        <f>IFERROR(IF(ISNUMBER(SEARCH('01_玩家问卷'!$B$4,D35)),20,0)+IF(ISNUMBER(SEARCH('01_玩家问卷'!$B$5,E35)),15,0)+IF(ISNUMBER(SEARCH('01_玩家问卷'!$B$7,F35)),15,0)+IF(ISNUMBER(SEARCH('01_玩家问卷'!$B$8,G35)),15,0)+IF(ISNUMBER(SEARCH('01_玩家问卷'!$B$9,H35)),15,0)+IF(I35='01_玩家问卷'!$B$6,10,IF(AND('01_玩家问卷'!$B$6="Low",I35="Medium"),5,IF(AND('01_玩家问卷'!$B$6="High",I35="Medium"),8,0)))+IF(AND('01_玩家问卷'!$B$10="2024 Core Only",J35&lt;&gt;"2024 PHB"),-40,IF(AND('01_玩家问卷'!$B$10="2024 + 2024 Expansions",ISNUMBER(SEARCH("Legacy",J35))),-50,0))+IF(AND('01_玩家问卷'!$B$11="No",ISNUMBER(SEARCH("Faerûn",J35))),-25,0)+IF(AND('01_玩家问卷'!$B$12&lt;&gt;"None",ISNUMBER(SEARCH('01_玩家问卷'!$B$12,U35))),-25,0)+ROW()/1000,0)</f>
        <v>5.035</v>
      </c>
      <c r="W35" s="2"/>
    </row>
    <row r="36" ht="15" customHeight="1" spans="1:23">
      <c r="A36" s="2">
        <v>35</v>
      </c>
      <c r="B36" s="2" t="s">
        <v>474</v>
      </c>
      <c r="C36" s="2" t="s">
        <v>502</v>
      </c>
      <c r="D36" s="2" t="s">
        <v>220</v>
      </c>
      <c r="E36" s="2" t="s">
        <v>158</v>
      </c>
      <c r="F36" s="2" t="s">
        <v>503</v>
      </c>
      <c r="G36" s="2" t="s">
        <v>259</v>
      </c>
      <c r="H36" s="2" t="s">
        <v>373</v>
      </c>
      <c r="I36" s="2" t="s">
        <v>95</v>
      </c>
      <c r="J36" s="2" t="s">
        <v>504</v>
      </c>
      <c r="K36" s="2" t="s">
        <v>505</v>
      </c>
      <c r="L36" s="2" t="s">
        <v>261</v>
      </c>
      <c r="M36" s="2" t="s">
        <v>506</v>
      </c>
      <c r="N36" s="2" t="s">
        <v>263</v>
      </c>
      <c r="O36" s="2" t="s">
        <v>264</v>
      </c>
      <c r="P36" s="2" t="s">
        <v>265</v>
      </c>
      <c r="Q36" s="2" t="s">
        <v>507</v>
      </c>
      <c r="R36" s="2" t="s">
        <v>508</v>
      </c>
      <c r="S36" s="2" t="s">
        <v>509</v>
      </c>
      <c r="T36" s="2" t="s">
        <v>510</v>
      </c>
      <c r="U36" s="2" t="s">
        <v>269</v>
      </c>
      <c r="V36" s="3">
        <f>IFERROR(IF(ISNUMBER(SEARCH('01_玩家问卷'!$B$4,D36)),20,0)+IF(ISNUMBER(SEARCH('01_玩家问卷'!$B$5,E36)),15,0)+IF(ISNUMBER(SEARCH('01_玩家问卷'!$B$7,F36)),15,0)+IF(ISNUMBER(SEARCH('01_玩家问卷'!$B$8,G36)),15,0)+IF(ISNUMBER(SEARCH('01_玩家问卷'!$B$9,H36)),15,0)+IF(I36='01_玩家问卷'!$B$6,10,IF(AND('01_玩家问卷'!$B$6="Low",I36="Medium"),5,IF(AND('01_玩家问卷'!$B$6="High",I36="Medium"),8,0)))+IF(AND('01_玩家问卷'!$B$10="2024 Core Only",J36&lt;&gt;"2024 PHB"),-40,IF(AND('01_玩家问卷'!$B$10="2024 + 2024 Expansions",ISNUMBER(SEARCH("Legacy",J36))),-50,0))+IF(AND('01_玩家问卷'!$B$11="No",ISNUMBER(SEARCH("Faerûn",J36))),-25,0)+IF(AND('01_玩家问卷'!$B$12&lt;&gt;"None",ISNUMBER(SEARCH('01_玩家问卷'!$B$12,U36))),-25,0)+ROW()/1000,0)</f>
        <v>-24.964</v>
      </c>
      <c r="W36" s="2"/>
    </row>
    <row r="37" ht="26.4" customHeight="1" spans="1:23">
      <c r="A37" s="2">
        <v>36</v>
      </c>
      <c r="B37" s="2" t="s">
        <v>474</v>
      </c>
      <c r="C37" s="2" t="s">
        <v>511</v>
      </c>
      <c r="D37" s="2" t="s">
        <v>512</v>
      </c>
      <c r="E37" s="2" t="s">
        <v>271</v>
      </c>
      <c r="F37" s="2" t="s">
        <v>513</v>
      </c>
      <c r="G37" s="2" t="s">
        <v>514</v>
      </c>
      <c r="H37" s="2" t="s">
        <v>515</v>
      </c>
      <c r="I37" s="2" t="s">
        <v>90</v>
      </c>
      <c r="J37" s="2" t="s">
        <v>516</v>
      </c>
      <c r="K37" s="2" t="s">
        <v>145</v>
      </c>
      <c r="L37" s="2" t="s">
        <v>146</v>
      </c>
      <c r="M37" s="2" t="s">
        <v>517</v>
      </c>
      <c r="N37" s="2" t="s">
        <v>359</v>
      </c>
      <c r="O37" s="2" t="s">
        <v>251</v>
      </c>
      <c r="P37" s="2" t="s">
        <v>425</v>
      </c>
      <c r="Q37" s="2" t="s">
        <v>518</v>
      </c>
      <c r="R37" s="2" t="s">
        <v>519</v>
      </c>
      <c r="S37" s="2" t="s">
        <v>520</v>
      </c>
      <c r="T37" s="2" t="s">
        <v>521</v>
      </c>
      <c r="U37" s="2" t="s">
        <v>155</v>
      </c>
      <c r="V37" s="3">
        <f>IFERROR(IF(ISNUMBER(SEARCH('01_玩家问卷'!$B$4,D37)),20,0)+IF(ISNUMBER(SEARCH('01_玩家问卷'!$B$5,E37)),15,0)+IF(ISNUMBER(SEARCH('01_玩家问卷'!$B$7,F37)),15,0)+IF(ISNUMBER(SEARCH('01_玩家问卷'!$B$8,G37)),15,0)+IF(ISNUMBER(SEARCH('01_玩家问卷'!$B$9,H37)),15,0)+IF(I37='01_玩家问卷'!$B$6,10,IF(AND('01_玩家问卷'!$B$6="Low",I37="Medium"),5,IF(AND('01_玩家问卷'!$B$6="High",I37="Medium"),8,0)))+IF(AND('01_玩家问卷'!$B$10="2024 Core Only",J37&lt;&gt;"2024 PHB"),-40,IF(AND('01_玩家问卷'!$B$10="2024 + 2024 Expansions",ISNUMBER(SEARCH("Legacy",J37))),-50,0))+IF(AND('01_玩家问卷'!$B$11="No",ISNUMBER(SEARCH("Faerûn",J37))),-25,0)+IF(AND('01_玩家问卷'!$B$12&lt;&gt;"None",ISNUMBER(SEARCH('01_玩家问卷'!$B$12,U37))),-25,0)+ROW()/1000,0)</f>
        <v>-19.963</v>
      </c>
      <c r="W37" s="2"/>
    </row>
  </sheetData>
  <conditionalFormatting sqref="J2:J37">
    <cfRule type="expression" dxfId="0" priority="2">
      <formula>ISNUMBER(SEARCH("Legacy",J2))</formula>
    </cfRule>
    <cfRule type="expression" dxfId="1" priority="3">
      <formula>ISNUMBER(SEARCH("Forgotten Realms",J2))</formula>
    </cfRule>
  </conditionalFormatting>
  <conditionalFormatting sqref="V2:V37">
    <cfRule type="dataBar" priority="1">
      <dataBar>
        <cfvo type="min"/>
        <cfvo type="max"/>
        <color rgb="FF7C5C36"/>
      </dataBar>
      <extLst>
        <ext xmlns:x14="http://schemas.microsoft.com/office/spreadsheetml/2009/9/main" uri="{B025F937-C7B1-47D3-B67F-A62EFF666E3E}">
          <x14:id>{7223a133-ce06-4542-96f6-27364ac58d56}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23a133-ce06-4542-96f6-27364ac58d5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V2:V37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"/>
    </sheetView>
  </sheetViews>
  <sheetFormatPr defaultColWidth="9" defaultRowHeight="16.8"/>
  <cols>
    <col min="1" max="6" width="24" customWidth="1"/>
    <col min="7" max="7" width="40" customWidth="1"/>
    <col min="8" max="8" width="56" customWidth="1"/>
    <col min="9" max="9" width="62" customWidth="1"/>
    <col min="10" max="10" width="52" customWidth="1"/>
  </cols>
  <sheetData>
    <row r="1" ht="15" customHeight="1" spans="1:10">
      <c r="A1" s="1" t="s">
        <v>114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</row>
    <row r="2" ht="26.4" customHeight="1" spans="1:10">
      <c r="A2" s="2" t="s">
        <v>174</v>
      </c>
      <c r="B2" s="2" t="s">
        <v>531</v>
      </c>
      <c r="C2" s="2" t="s">
        <v>532</v>
      </c>
      <c r="D2" s="2" t="s">
        <v>533</v>
      </c>
      <c r="E2" s="2" t="s">
        <v>41</v>
      </c>
      <c r="F2" s="2" t="s">
        <v>275</v>
      </c>
      <c r="G2" s="2" t="s">
        <v>90</v>
      </c>
      <c r="H2" s="2" t="s">
        <v>534</v>
      </c>
      <c r="I2" s="2" t="s">
        <v>535</v>
      </c>
      <c r="J2" s="2" t="s">
        <v>536</v>
      </c>
    </row>
    <row r="3" ht="26.4" customHeight="1" spans="1:10">
      <c r="A3" s="2" t="s">
        <v>261</v>
      </c>
      <c r="B3" s="2" t="s">
        <v>537</v>
      </c>
      <c r="C3" s="2" t="s">
        <v>538</v>
      </c>
      <c r="D3" s="2" t="s">
        <v>539</v>
      </c>
      <c r="E3" s="2" t="s">
        <v>95</v>
      </c>
      <c r="F3" s="2" t="s">
        <v>90</v>
      </c>
      <c r="G3" s="2" t="s">
        <v>275</v>
      </c>
      <c r="H3" s="2" t="s">
        <v>540</v>
      </c>
      <c r="I3" s="2" t="s">
        <v>541</v>
      </c>
      <c r="J3" s="2" t="s">
        <v>542</v>
      </c>
    </row>
    <row r="4" ht="26.4" customHeight="1" spans="1:10">
      <c r="A4" s="2" t="s">
        <v>300</v>
      </c>
      <c r="B4" s="2" t="s">
        <v>543</v>
      </c>
      <c r="C4" s="2" t="s">
        <v>544</v>
      </c>
      <c r="D4" s="2" t="s">
        <v>545</v>
      </c>
      <c r="E4" s="2" t="s">
        <v>90</v>
      </c>
      <c r="F4" s="2" t="s">
        <v>90</v>
      </c>
      <c r="G4" s="2" t="s">
        <v>275</v>
      </c>
      <c r="H4" s="2" t="s">
        <v>546</v>
      </c>
      <c r="I4" s="2" t="s">
        <v>547</v>
      </c>
      <c r="J4" s="2" t="s">
        <v>548</v>
      </c>
    </row>
    <row r="5" ht="26.4" customHeight="1" spans="1:10">
      <c r="A5" s="2" t="s">
        <v>321</v>
      </c>
      <c r="B5" s="2" t="s">
        <v>543</v>
      </c>
      <c r="C5" s="2" t="s">
        <v>549</v>
      </c>
      <c r="D5" s="2" t="s">
        <v>550</v>
      </c>
      <c r="E5" s="2" t="s">
        <v>275</v>
      </c>
      <c r="F5" s="2" t="s">
        <v>85</v>
      </c>
      <c r="G5" s="2" t="s">
        <v>275</v>
      </c>
      <c r="H5" s="2" t="s">
        <v>551</v>
      </c>
      <c r="I5" s="2" t="s">
        <v>552</v>
      </c>
      <c r="J5" s="2" t="s">
        <v>553</v>
      </c>
    </row>
    <row r="6" ht="26.4" customHeight="1" spans="1:10">
      <c r="A6" s="2" t="s">
        <v>146</v>
      </c>
      <c r="B6" s="2" t="s">
        <v>554</v>
      </c>
      <c r="C6" s="2" t="s">
        <v>555</v>
      </c>
      <c r="D6" s="2" t="s">
        <v>556</v>
      </c>
      <c r="E6" s="2" t="s">
        <v>85</v>
      </c>
      <c r="F6" s="2" t="s">
        <v>557</v>
      </c>
      <c r="G6" s="2" t="s">
        <v>95</v>
      </c>
      <c r="H6" s="2" t="s">
        <v>558</v>
      </c>
      <c r="I6" s="2" t="s">
        <v>559</v>
      </c>
      <c r="J6" s="2" t="s">
        <v>560</v>
      </c>
    </row>
    <row r="7" ht="26.4" customHeight="1" spans="1:10">
      <c r="A7" s="2" t="s">
        <v>339</v>
      </c>
      <c r="B7" s="2" t="s">
        <v>561</v>
      </c>
      <c r="C7" s="2" t="s">
        <v>562</v>
      </c>
      <c r="D7" s="2" t="s">
        <v>563</v>
      </c>
      <c r="E7" s="2" t="s">
        <v>90</v>
      </c>
      <c r="F7" s="2" t="s">
        <v>90</v>
      </c>
      <c r="G7" s="2" t="s">
        <v>90</v>
      </c>
      <c r="H7" s="2" t="s">
        <v>564</v>
      </c>
      <c r="I7" s="2" t="s">
        <v>565</v>
      </c>
      <c r="J7" s="2" t="s">
        <v>566</v>
      </c>
    </row>
    <row r="8" ht="26.4" customHeight="1" spans="1:10">
      <c r="A8" s="2" t="s">
        <v>188</v>
      </c>
      <c r="B8" s="2" t="s">
        <v>567</v>
      </c>
      <c r="C8" s="2" t="s">
        <v>568</v>
      </c>
      <c r="D8" s="2" t="s">
        <v>569</v>
      </c>
      <c r="E8" s="2" t="s">
        <v>90</v>
      </c>
      <c r="F8" s="2" t="s">
        <v>275</v>
      </c>
      <c r="G8" s="2" t="s">
        <v>557</v>
      </c>
      <c r="H8" s="2" t="s">
        <v>570</v>
      </c>
      <c r="I8" s="2" t="s">
        <v>571</v>
      </c>
      <c r="J8" s="2" t="s">
        <v>572</v>
      </c>
    </row>
    <row r="9" ht="26.4" customHeight="1" spans="1:10">
      <c r="A9" s="2" t="s">
        <v>210</v>
      </c>
      <c r="B9" s="2" t="s">
        <v>573</v>
      </c>
      <c r="C9" s="2" t="s">
        <v>574</v>
      </c>
      <c r="D9" s="2" t="s">
        <v>575</v>
      </c>
      <c r="E9" s="2" t="s">
        <v>90</v>
      </c>
      <c r="F9" s="2" t="s">
        <v>275</v>
      </c>
      <c r="G9" s="2" t="s">
        <v>90</v>
      </c>
      <c r="H9" s="2" t="s">
        <v>576</v>
      </c>
      <c r="I9" s="2" t="s">
        <v>577</v>
      </c>
      <c r="J9" s="2" t="s">
        <v>578</v>
      </c>
    </row>
    <row r="10" ht="26.4" customHeight="1" spans="1:10">
      <c r="A10" s="2" t="s">
        <v>226</v>
      </c>
      <c r="B10" s="2" t="s">
        <v>579</v>
      </c>
      <c r="C10" s="2" t="s">
        <v>580</v>
      </c>
      <c r="D10" s="2" t="s">
        <v>581</v>
      </c>
      <c r="E10" s="2" t="s">
        <v>85</v>
      </c>
      <c r="F10" s="2" t="s">
        <v>275</v>
      </c>
      <c r="G10" s="2" t="s">
        <v>90</v>
      </c>
      <c r="H10" s="2" t="s">
        <v>582</v>
      </c>
      <c r="I10" s="2" t="s">
        <v>583</v>
      </c>
      <c r="J10" s="2" t="s">
        <v>584</v>
      </c>
    </row>
    <row r="11" ht="15" customHeight="1" spans="1:10">
      <c r="A11" s="2" t="s">
        <v>357</v>
      </c>
      <c r="B11" s="2" t="s">
        <v>585</v>
      </c>
      <c r="C11" s="2" t="s">
        <v>586</v>
      </c>
      <c r="D11" s="2" t="s">
        <v>587</v>
      </c>
      <c r="E11" s="2" t="s">
        <v>95</v>
      </c>
      <c r="F11" s="2" t="s">
        <v>90</v>
      </c>
      <c r="G11" s="2" t="s">
        <v>275</v>
      </c>
      <c r="H11" s="2" t="s">
        <v>588</v>
      </c>
      <c r="I11" s="2" t="s">
        <v>589</v>
      </c>
      <c r="J11" s="2" t="s">
        <v>590</v>
      </c>
    </row>
    <row r="12" ht="26.4" customHeight="1" spans="1:10">
      <c r="A12" s="2" t="s">
        <v>248</v>
      </c>
      <c r="B12" s="2" t="s">
        <v>585</v>
      </c>
      <c r="C12" s="2" t="s">
        <v>591</v>
      </c>
      <c r="D12" s="2" t="s">
        <v>592</v>
      </c>
      <c r="E12" s="2" t="s">
        <v>90</v>
      </c>
      <c r="F12" s="2" t="s">
        <v>95</v>
      </c>
      <c r="G12" s="2" t="s">
        <v>95</v>
      </c>
      <c r="H12" s="2" t="s">
        <v>593</v>
      </c>
      <c r="I12" s="2" t="s">
        <v>594</v>
      </c>
      <c r="J12" s="2" t="s">
        <v>595</v>
      </c>
    </row>
    <row r="13" ht="26.4" customHeight="1" spans="1:10">
      <c r="A13" s="2" t="s">
        <v>276</v>
      </c>
      <c r="B13" s="2" t="s">
        <v>596</v>
      </c>
      <c r="C13" s="2" t="s">
        <v>597</v>
      </c>
      <c r="D13" s="2" t="s">
        <v>598</v>
      </c>
      <c r="E13" s="2" t="s">
        <v>275</v>
      </c>
      <c r="F13" s="2" t="s">
        <v>41</v>
      </c>
      <c r="G13" s="2" t="s">
        <v>557</v>
      </c>
      <c r="H13" s="2" t="s">
        <v>599</v>
      </c>
      <c r="I13" s="2" t="s">
        <v>600</v>
      </c>
      <c r="J13" s="2" t="s">
        <v>601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A1" sqref="A1"/>
    </sheetView>
  </sheetViews>
  <sheetFormatPr defaultColWidth="9" defaultRowHeight="16.8" outlineLevelCol="6"/>
  <cols>
    <col min="1" max="6" width="24" customWidth="1"/>
    <col min="7" max="7" width="52" customWidth="1"/>
  </cols>
  <sheetData>
    <row r="1" ht="15" customHeight="1" spans="1:7">
      <c r="A1" s="1" t="s">
        <v>114</v>
      </c>
      <c r="B1" s="1" t="s">
        <v>115</v>
      </c>
      <c r="C1" s="1" t="s">
        <v>602</v>
      </c>
      <c r="D1" s="1" t="s">
        <v>603</v>
      </c>
      <c r="E1" s="1" t="s">
        <v>604</v>
      </c>
      <c r="F1" s="1" t="s">
        <v>525</v>
      </c>
      <c r="G1" s="1" t="s">
        <v>530</v>
      </c>
    </row>
    <row r="2" ht="15" customHeight="1" spans="1:7">
      <c r="A2" s="2" t="s">
        <v>174</v>
      </c>
      <c r="B2" s="2" t="s">
        <v>175</v>
      </c>
      <c r="C2" s="2" t="s">
        <v>144</v>
      </c>
      <c r="D2" s="2" t="s">
        <v>605</v>
      </c>
      <c r="E2" s="2" t="s">
        <v>606</v>
      </c>
      <c r="F2" s="2" t="s">
        <v>41</v>
      </c>
      <c r="G2" s="2" t="s">
        <v>607</v>
      </c>
    </row>
    <row r="3" ht="15" customHeight="1" spans="1:7">
      <c r="A3" s="2" t="s">
        <v>174</v>
      </c>
      <c r="B3" s="2" t="s">
        <v>608</v>
      </c>
      <c r="C3" s="2" t="s">
        <v>144</v>
      </c>
      <c r="D3" s="2" t="s">
        <v>609</v>
      </c>
      <c r="E3" s="2" t="s">
        <v>610</v>
      </c>
      <c r="F3" s="2" t="s">
        <v>90</v>
      </c>
      <c r="G3" s="2" t="s">
        <v>611</v>
      </c>
    </row>
    <row r="4" ht="15" customHeight="1" spans="1:7">
      <c r="A4" s="2" t="s">
        <v>174</v>
      </c>
      <c r="B4" s="2" t="s">
        <v>612</v>
      </c>
      <c r="C4" s="2" t="s">
        <v>144</v>
      </c>
      <c r="D4" s="2" t="s">
        <v>613</v>
      </c>
      <c r="E4" s="2" t="s">
        <v>614</v>
      </c>
      <c r="F4" s="2" t="s">
        <v>90</v>
      </c>
      <c r="G4" s="2" t="s">
        <v>615</v>
      </c>
    </row>
    <row r="5" ht="15" customHeight="1" spans="1:7">
      <c r="A5" s="2" t="s">
        <v>174</v>
      </c>
      <c r="B5" s="2" t="s">
        <v>616</v>
      </c>
      <c r="C5" s="2" t="s">
        <v>144</v>
      </c>
      <c r="D5" s="2" t="s">
        <v>617</v>
      </c>
      <c r="E5" s="2" t="s">
        <v>618</v>
      </c>
      <c r="F5" s="2" t="s">
        <v>90</v>
      </c>
      <c r="G5" s="2" t="s">
        <v>619</v>
      </c>
    </row>
    <row r="6" ht="15" customHeight="1" spans="1:7">
      <c r="A6" s="2" t="s">
        <v>261</v>
      </c>
      <c r="B6" s="2" t="s">
        <v>620</v>
      </c>
      <c r="C6" s="2" t="s">
        <v>144</v>
      </c>
      <c r="D6" s="2" t="s">
        <v>621</v>
      </c>
      <c r="E6" s="2" t="s">
        <v>622</v>
      </c>
      <c r="F6" s="2" t="s">
        <v>90</v>
      </c>
      <c r="G6" s="2" t="s">
        <v>623</v>
      </c>
    </row>
    <row r="7" ht="15" customHeight="1" spans="1:7">
      <c r="A7" s="2" t="s">
        <v>261</v>
      </c>
      <c r="B7" s="2" t="s">
        <v>624</v>
      </c>
      <c r="C7" s="2" t="s">
        <v>144</v>
      </c>
      <c r="D7" s="2" t="s">
        <v>625</v>
      </c>
      <c r="E7" s="2" t="s">
        <v>626</v>
      </c>
      <c r="F7" s="2" t="s">
        <v>90</v>
      </c>
      <c r="G7" s="2" t="s">
        <v>627</v>
      </c>
    </row>
    <row r="8" ht="15" customHeight="1" spans="1:7">
      <c r="A8" s="2" t="s">
        <v>261</v>
      </c>
      <c r="B8" s="2" t="s">
        <v>262</v>
      </c>
      <c r="C8" s="2" t="s">
        <v>144</v>
      </c>
      <c r="D8" s="2" t="s">
        <v>628</v>
      </c>
      <c r="E8" s="2" t="s">
        <v>629</v>
      </c>
      <c r="F8" s="2" t="s">
        <v>95</v>
      </c>
      <c r="G8" s="2" t="s">
        <v>630</v>
      </c>
    </row>
    <row r="9" ht="15" customHeight="1" spans="1:7">
      <c r="A9" s="2" t="s">
        <v>261</v>
      </c>
      <c r="B9" s="2" t="s">
        <v>631</v>
      </c>
      <c r="C9" s="2" t="s">
        <v>144</v>
      </c>
      <c r="D9" s="2" t="s">
        <v>632</v>
      </c>
      <c r="E9" s="2" t="s">
        <v>633</v>
      </c>
      <c r="F9" s="2" t="s">
        <v>90</v>
      </c>
      <c r="G9" s="2" t="s">
        <v>634</v>
      </c>
    </row>
    <row r="10" ht="15" customHeight="1" spans="1:7">
      <c r="A10" s="2" t="s">
        <v>300</v>
      </c>
      <c r="B10" s="2" t="s">
        <v>301</v>
      </c>
      <c r="C10" s="2" t="s">
        <v>144</v>
      </c>
      <c r="D10" s="2" t="s">
        <v>635</v>
      </c>
      <c r="E10" s="2" t="s">
        <v>636</v>
      </c>
      <c r="F10" s="2" t="s">
        <v>85</v>
      </c>
      <c r="G10" s="2" t="s">
        <v>637</v>
      </c>
    </row>
    <row r="11" ht="15" customHeight="1" spans="1:7">
      <c r="A11" s="2" t="s">
        <v>300</v>
      </c>
      <c r="B11" s="2" t="s">
        <v>312</v>
      </c>
      <c r="C11" s="2" t="s">
        <v>144</v>
      </c>
      <c r="D11" s="2" t="s">
        <v>638</v>
      </c>
      <c r="E11" s="2" t="s">
        <v>639</v>
      </c>
      <c r="F11" s="2" t="s">
        <v>90</v>
      </c>
      <c r="G11" s="2" t="s">
        <v>640</v>
      </c>
    </row>
    <row r="12" ht="15" customHeight="1" spans="1:7">
      <c r="A12" s="2" t="s">
        <v>300</v>
      </c>
      <c r="B12" s="2" t="s">
        <v>641</v>
      </c>
      <c r="C12" s="2" t="s">
        <v>144</v>
      </c>
      <c r="D12" s="2" t="s">
        <v>642</v>
      </c>
      <c r="E12" s="2" t="s">
        <v>643</v>
      </c>
      <c r="F12" s="2" t="s">
        <v>95</v>
      </c>
      <c r="G12" s="2" t="s">
        <v>644</v>
      </c>
    </row>
    <row r="13" ht="15" customHeight="1" spans="1:7">
      <c r="A13" s="2" t="s">
        <v>300</v>
      </c>
      <c r="B13" s="2" t="s">
        <v>382</v>
      </c>
      <c r="C13" s="2" t="s">
        <v>144</v>
      </c>
      <c r="D13" s="2" t="s">
        <v>645</v>
      </c>
      <c r="E13" s="2" t="s">
        <v>646</v>
      </c>
      <c r="F13" s="2" t="s">
        <v>90</v>
      </c>
      <c r="G13" s="2" t="s">
        <v>647</v>
      </c>
    </row>
    <row r="14" ht="15" customHeight="1" spans="1:7">
      <c r="A14" s="2" t="s">
        <v>321</v>
      </c>
      <c r="B14" s="2" t="s">
        <v>648</v>
      </c>
      <c r="C14" s="2" t="s">
        <v>144</v>
      </c>
      <c r="D14" s="2" t="s">
        <v>649</v>
      </c>
      <c r="E14" s="2" t="s">
        <v>650</v>
      </c>
      <c r="F14" s="2" t="s">
        <v>90</v>
      </c>
      <c r="G14" s="2" t="s">
        <v>651</v>
      </c>
    </row>
    <row r="15" ht="15" customHeight="1" spans="1:7">
      <c r="A15" s="2" t="s">
        <v>321</v>
      </c>
      <c r="B15" s="2" t="s">
        <v>331</v>
      </c>
      <c r="C15" s="2" t="s">
        <v>144</v>
      </c>
      <c r="D15" s="2" t="s">
        <v>652</v>
      </c>
      <c r="E15" s="2" t="s">
        <v>653</v>
      </c>
      <c r="F15" s="2" t="s">
        <v>90</v>
      </c>
      <c r="G15" s="2" t="s">
        <v>654</v>
      </c>
    </row>
    <row r="16" ht="15" customHeight="1" spans="1:7">
      <c r="A16" s="2" t="s">
        <v>321</v>
      </c>
      <c r="B16" s="2" t="s">
        <v>655</v>
      </c>
      <c r="C16" s="2" t="s">
        <v>144</v>
      </c>
      <c r="D16" s="2" t="s">
        <v>656</v>
      </c>
      <c r="E16" s="2" t="s">
        <v>657</v>
      </c>
      <c r="F16" s="2" t="s">
        <v>95</v>
      </c>
      <c r="G16" s="2" t="s">
        <v>658</v>
      </c>
    </row>
    <row r="17" ht="15" customHeight="1" spans="1:7">
      <c r="A17" s="2" t="s">
        <v>321</v>
      </c>
      <c r="B17" s="2" t="s">
        <v>322</v>
      </c>
      <c r="C17" s="2" t="s">
        <v>144</v>
      </c>
      <c r="D17" s="2" t="s">
        <v>659</v>
      </c>
      <c r="E17" s="2" t="s">
        <v>660</v>
      </c>
      <c r="F17" s="2" t="s">
        <v>90</v>
      </c>
      <c r="G17" s="2" t="s">
        <v>661</v>
      </c>
    </row>
    <row r="18" ht="15" customHeight="1" spans="1:7">
      <c r="A18" s="2" t="s">
        <v>146</v>
      </c>
      <c r="B18" s="2" t="s">
        <v>162</v>
      </c>
      <c r="C18" s="2" t="s">
        <v>144</v>
      </c>
      <c r="D18" s="2" t="s">
        <v>662</v>
      </c>
      <c r="E18" s="2" t="s">
        <v>663</v>
      </c>
      <c r="F18" s="2" t="s">
        <v>90</v>
      </c>
      <c r="G18" s="2" t="s">
        <v>664</v>
      </c>
    </row>
    <row r="19" ht="15" customHeight="1" spans="1:7">
      <c r="A19" s="2" t="s">
        <v>146</v>
      </c>
      <c r="B19" s="2" t="s">
        <v>147</v>
      </c>
      <c r="C19" s="2" t="s">
        <v>144</v>
      </c>
      <c r="D19" s="2" t="s">
        <v>665</v>
      </c>
      <c r="E19" s="2" t="s">
        <v>666</v>
      </c>
      <c r="F19" s="2" t="s">
        <v>41</v>
      </c>
      <c r="G19" s="2" t="s">
        <v>667</v>
      </c>
    </row>
    <row r="20" ht="15" customHeight="1" spans="1:7">
      <c r="A20" s="2" t="s">
        <v>146</v>
      </c>
      <c r="B20" s="2" t="s">
        <v>391</v>
      </c>
      <c r="C20" s="2" t="s">
        <v>144</v>
      </c>
      <c r="D20" s="2" t="s">
        <v>668</v>
      </c>
      <c r="E20" s="2" t="s">
        <v>669</v>
      </c>
      <c r="F20" s="2" t="s">
        <v>95</v>
      </c>
      <c r="G20" s="2" t="s">
        <v>670</v>
      </c>
    </row>
    <row r="21" ht="15" customHeight="1" spans="1:7">
      <c r="A21" s="2" t="s">
        <v>146</v>
      </c>
      <c r="B21" s="2" t="s">
        <v>671</v>
      </c>
      <c r="C21" s="2" t="s">
        <v>144</v>
      </c>
      <c r="D21" s="2" t="s">
        <v>672</v>
      </c>
      <c r="E21" s="2" t="s">
        <v>673</v>
      </c>
      <c r="F21" s="2" t="s">
        <v>90</v>
      </c>
      <c r="G21" s="2" t="s">
        <v>674</v>
      </c>
    </row>
    <row r="22" ht="15" customHeight="1" spans="1:7">
      <c r="A22" s="2" t="s">
        <v>339</v>
      </c>
      <c r="B22" s="2" t="s">
        <v>349</v>
      </c>
      <c r="C22" s="2" t="s">
        <v>144</v>
      </c>
      <c r="D22" s="2" t="s">
        <v>675</v>
      </c>
      <c r="E22" s="2" t="s">
        <v>676</v>
      </c>
      <c r="F22" s="2" t="s">
        <v>90</v>
      </c>
      <c r="G22" s="2" t="s">
        <v>677</v>
      </c>
    </row>
    <row r="23" ht="15" customHeight="1" spans="1:7">
      <c r="A23" s="2" t="s">
        <v>339</v>
      </c>
      <c r="B23" s="2" t="s">
        <v>340</v>
      </c>
      <c r="C23" s="2" t="s">
        <v>144</v>
      </c>
      <c r="D23" s="2" t="s">
        <v>678</v>
      </c>
      <c r="E23" s="2" t="s">
        <v>679</v>
      </c>
      <c r="F23" s="2" t="s">
        <v>90</v>
      </c>
      <c r="G23" s="2" t="s">
        <v>680</v>
      </c>
    </row>
    <row r="24" ht="15" customHeight="1" spans="1:7">
      <c r="A24" s="2" t="s">
        <v>339</v>
      </c>
      <c r="B24" s="2" t="s">
        <v>681</v>
      </c>
      <c r="C24" s="2" t="s">
        <v>144</v>
      </c>
      <c r="D24" s="2" t="s">
        <v>682</v>
      </c>
      <c r="E24" s="2" t="s">
        <v>683</v>
      </c>
      <c r="F24" s="2" t="s">
        <v>90</v>
      </c>
      <c r="G24" s="2" t="s">
        <v>684</v>
      </c>
    </row>
    <row r="25" ht="15" customHeight="1" spans="1:7">
      <c r="A25" s="2" t="s">
        <v>339</v>
      </c>
      <c r="B25" s="2" t="s">
        <v>685</v>
      </c>
      <c r="C25" s="2" t="s">
        <v>144</v>
      </c>
      <c r="D25" s="2" t="s">
        <v>686</v>
      </c>
      <c r="E25" s="2" t="s">
        <v>687</v>
      </c>
      <c r="F25" s="2" t="s">
        <v>85</v>
      </c>
      <c r="G25" s="2" t="s">
        <v>688</v>
      </c>
    </row>
    <row r="26" ht="15" customHeight="1" spans="1:7">
      <c r="A26" s="2" t="s">
        <v>188</v>
      </c>
      <c r="B26" s="2" t="s">
        <v>189</v>
      </c>
      <c r="C26" s="2" t="s">
        <v>144</v>
      </c>
      <c r="D26" s="2" t="s">
        <v>689</v>
      </c>
      <c r="E26" s="2" t="s">
        <v>690</v>
      </c>
      <c r="F26" s="2" t="s">
        <v>85</v>
      </c>
      <c r="G26" s="2" t="s">
        <v>691</v>
      </c>
    </row>
    <row r="27" ht="15" customHeight="1" spans="1:7">
      <c r="A27" s="2" t="s">
        <v>188</v>
      </c>
      <c r="B27" s="2" t="s">
        <v>692</v>
      </c>
      <c r="C27" s="2" t="s">
        <v>144</v>
      </c>
      <c r="D27" s="2" t="s">
        <v>693</v>
      </c>
      <c r="E27" s="2" t="s">
        <v>694</v>
      </c>
      <c r="F27" s="2" t="s">
        <v>90</v>
      </c>
      <c r="G27" s="2" t="s">
        <v>695</v>
      </c>
    </row>
    <row r="28" ht="15" customHeight="1" spans="1:7">
      <c r="A28" s="2" t="s">
        <v>188</v>
      </c>
      <c r="B28" s="2" t="s">
        <v>696</v>
      </c>
      <c r="C28" s="2" t="s">
        <v>144</v>
      </c>
      <c r="D28" s="2" t="s">
        <v>697</v>
      </c>
      <c r="E28" s="2" t="s">
        <v>698</v>
      </c>
      <c r="F28" s="2" t="s">
        <v>90</v>
      </c>
      <c r="G28" s="2" t="s">
        <v>699</v>
      </c>
    </row>
    <row r="29" ht="15" customHeight="1" spans="1:7">
      <c r="A29" s="2" t="s">
        <v>188</v>
      </c>
      <c r="B29" s="2" t="s">
        <v>201</v>
      </c>
      <c r="C29" s="2" t="s">
        <v>144</v>
      </c>
      <c r="D29" s="2" t="s">
        <v>700</v>
      </c>
      <c r="E29" s="2" t="s">
        <v>701</v>
      </c>
      <c r="F29" s="2" t="s">
        <v>90</v>
      </c>
      <c r="G29" s="2" t="s">
        <v>702</v>
      </c>
    </row>
    <row r="30" ht="15" customHeight="1" spans="1:7">
      <c r="A30" s="2" t="s">
        <v>210</v>
      </c>
      <c r="B30" s="2" t="s">
        <v>703</v>
      </c>
      <c r="C30" s="2" t="s">
        <v>144</v>
      </c>
      <c r="D30" s="2" t="s">
        <v>704</v>
      </c>
      <c r="E30" s="2" t="s">
        <v>705</v>
      </c>
      <c r="F30" s="2" t="s">
        <v>90</v>
      </c>
      <c r="G30" s="2" t="s">
        <v>706</v>
      </c>
    </row>
    <row r="31" ht="15" customHeight="1" spans="1:7">
      <c r="A31" s="2" t="s">
        <v>210</v>
      </c>
      <c r="B31" s="2" t="s">
        <v>707</v>
      </c>
      <c r="C31" s="2" t="s">
        <v>144</v>
      </c>
      <c r="D31" s="2" t="s">
        <v>708</v>
      </c>
      <c r="E31" s="2" t="s">
        <v>709</v>
      </c>
      <c r="F31" s="2" t="s">
        <v>90</v>
      </c>
      <c r="G31" s="2" t="s">
        <v>710</v>
      </c>
    </row>
    <row r="32" ht="15" customHeight="1" spans="1:7">
      <c r="A32" s="2" t="s">
        <v>210</v>
      </c>
      <c r="B32" s="2" t="s">
        <v>211</v>
      </c>
      <c r="C32" s="2" t="s">
        <v>144</v>
      </c>
      <c r="D32" s="2" t="s">
        <v>711</v>
      </c>
      <c r="E32" s="2" t="s">
        <v>712</v>
      </c>
      <c r="F32" s="2" t="s">
        <v>90</v>
      </c>
      <c r="G32" s="2" t="s">
        <v>713</v>
      </c>
    </row>
    <row r="33" ht="15" customHeight="1" spans="1:7">
      <c r="A33" s="2" t="s">
        <v>210</v>
      </c>
      <c r="B33" s="2" t="s">
        <v>714</v>
      </c>
      <c r="C33" s="2" t="s">
        <v>144</v>
      </c>
      <c r="D33" s="2" t="s">
        <v>715</v>
      </c>
      <c r="E33" s="2" t="s">
        <v>716</v>
      </c>
      <c r="F33" s="2" t="s">
        <v>85</v>
      </c>
      <c r="G33" s="2" t="s">
        <v>717</v>
      </c>
    </row>
    <row r="34" ht="15" customHeight="1" spans="1:7">
      <c r="A34" s="2" t="s">
        <v>226</v>
      </c>
      <c r="B34" s="2" t="s">
        <v>718</v>
      </c>
      <c r="C34" s="2" t="s">
        <v>144</v>
      </c>
      <c r="D34" s="2" t="s">
        <v>719</v>
      </c>
      <c r="E34" s="2" t="s">
        <v>720</v>
      </c>
      <c r="F34" s="2" t="s">
        <v>95</v>
      </c>
      <c r="G34" s="2" t="s">
        <v>721</v>
      </c>
    </row>
    <row r="35" ht="15" customHeight="1" spans="1:7">
      <c r="A35" s="2" t="s">
        <v>226</v>
      </c>
      <c r="B35" s="2" t="s">
        <v>237</v>
      </c>
      <c r="C35" s="2" t="s">
        <v>144</v>
      </c>
      <c r="D35" s="2" t="s">
        <v>722</v>
      </c>
      <c r="E35" s="2" t="s">
        <v>723</v>
      </c>
      <c r="F35" s="2" t="s">
        <v>90</v>
      </c>
      <c r="G35" s="2" t="s">
        <v>724</v>
      </c>
    </row>
    <row r="36" ht="15" customHeight="1" spans="1:7">
      <c r="A36" s="2" t="s">
        <v>226</v>
      </c>
      <c r="B36" s="2" t="s">
        <v>402</v>
      </c>
      <c r="C36" s="2" t="s">
        <v>144</v>
      </c>
      <c r="D36" s="2" t="s">
        <v>725</v>
      </c>
      <c r="E36" s="2" t="s">
        <v>726</v>
      </c>
      <c r="F36" s="2" t="s">
        <v>90</v>
      </c>
      <c r="G36" s="2" t="s">
        <v>727</v>
      </c>
    </row>
    <row r="37" ht="15" customHeight="1" spans="1:7">
      <c r="A37" s="2" t="s">
        <v>226</v>
      </c>
      <c r="B37" s="2" t="s">
        <v>227</v>
      </c>
      <c r="C37" s="2" t="s">
        <v>144</v>
      </c>
      <c r="D37" s="2" t="s">
        <v>728</v>
      </c>
      <c r="E37" s="2" t="s">
        <v>729</v>
      </c>
      <c r="F37" s="2" t="s">
        <v>41</v>
      </c>
      <c r="G37" s="2" t="s">
        <v>730</v>
      </c>
    </row>
    <row r="38" ht="15" customHeight="1" spans="1:7">
      <c r="A38" s="2" t="s">
        <v>357</v>
      </c>
      <c r="B38" s="2" t="s">
        <v>731</v>
      </c>
      <c r="C38" s="2" t="s">
        <v>144</v>
      </c>
      <c r="D38" s="2" t="s">
        <v>732</v>
      </c>
      <c r="E38" s="2" t="s">
        <v>733</v>
      </c>
      <c r="F38" s="2" t="s">
        <v>95</v>
      </c>
      <c r="G38" s="2" t="s">
        <v>734</v>
      </c>
    </row>
    <row r="39" ht="15" customHeight="1" spans="1:7">
      <c r="A39" s="2" t="s">
        <v>357</v>
      </c>
      <c r="B39" s="2" t="s">
        <v>735</v>
      </c>
      <c r="C39" s="2" t="s">
        <v>144</v>
      </c>
      <c r="D39" s="2" t="s">
        <v>736</v>
      </c>
      <c r="E39" s="2" t="s">
        <v>737</v>
      </c>
      <c r="F39" s="2" t="s">
        <v>95</v>
      </c>
      <c r="G39" s="2" t="s">
        <v>738</v>
      </c>
    </row>
    <row r="40" ht="15" customHeight="1" spans="1:7">
      <c r="A40" s="2" t="s">
        <v>357</v>
      </c>
      <c r="B40" s="2" t="s">
        <v>358</v>
      </c>
      <c r="C40" s="2" t="s">
        <v>144</v>
      </c>
      <c r="D40" s="2" t="s">
        <v>739</v>
      </c>
      <c r="E40" s="2" t="s">
        <v>740</v>
      </c>
      <c r="F40" s="2" t="s">
        <v>90</v>
      </c>
      <c r="G40" s="2" t="s">
        <v>741</v>
      </c>
    </row>
    <row r="41" ht="15" customHeight="1" spans="1:7">
      <c r="A41" s="2" t="s">
        <v>357</v>
      </c>
      <c r="B41" s="2" t="s">
        <v>366</v>
      </c>
      <c r="C41" s="2" t="s">
        <v>144</v>
      </c>
      <c r="D41" s="2" t="s">
        <v>742</v>
      </c>
      <c r="E41" s="2" t="s">
        <v>743</v>
      </c>
      <c r="F41" s="2" t="s">
        <v>90</v>
      </c>
      <c r="G41" s="2" t="s">
        <v>744</v>
      </c>
    </row>
    <row r="42" ht="15" customHeight="1" spans="1:7">
      <c r="A42" s="2" t="s">
        <v>248</v>
      </c>
      <c r="B42" s="2" t="s">
        <v>374</v>
      </c>
      <c r="C42" s="2" t="s">
        <v>144</v>
      </c>
      <c r="D42" s="2" t="s">
        <v>745</v>
      </c>
      <c r="E42" s="2" t="s">
        <v>746</v>
      </c>
      <c r="F42" s="2" t="s">
        <v>90</v>
      </c>
      <c r="G42" s="2" t="s">
        <v>747</v>
      </c>
    </row>
    <row r="43" ht="15" customHeight="1" spans="1:7">
      <c r="A43" s="2" t="s">
        <v>248</v>
      </c>
      <c r="B43" s="2" t="s">
        <v>748</v>
      </c>
      <c r="C43" s="2" t="s">
        <v>144</v>
      </c>
      <c r="D43" s="2" t="s">
        <v>749</v>
      </c>
      <c r="E43" s="2" t="s">
        <v>750</v>
      </c>
      <c r="F43" s="2" t="s">
        <v>90</v>
      </c>
      <c r="G43" s="2" t="s">
        <v>751</v>
      </c>
    </row>
    <row r="44" ht="15" customHeight="1" spans="1:7">
      <c r="A44" s="2" t="s">
        <v>248</v>
      </c>
      <c r="B44" s="2" t="s">
        <v>249</v>
      </c>
      <c r="C44" s="2" t="s">
        <v>144</v>
      </c>
      <c r="D44" s="2" t="s">
        <v>752</v>
      </c>
      <c r="E44" s="2" t="s">
        <v>753</v>
      </c>
      <c r="F44" s="2" t="s">
        <v>85</v>
      </c>
      <c r="G44" s="2" t="s">
        <v>754</v>
      </c>
    </row>
    <row r="45" ht="15" customHeight="1" spans="1:7">
      <c r="A45" s="2" t="s">
        <v>248</v>
      </c>
      <c r="B45" s="2" t="s">
        <v>755</v>
      </c>
      <c r="C45" s="2" t="s">
        <v>144</v>
      </c>
      <c r="D45" s="2" t="s">
        <v>756</v>
      </c>
      <c r="E45" s="2" t="s">
        <v>757</v>
      </c>
      <c r="F45" s="2" t="s">
        <v>90</v>
      </c>
      <c r="G45" s="2" t="s">
        <v>758</v>
      </c>
    </row>
    <row r="46" ht="15" customHeight="1" spans="1:7">
      <c r="A46" s="2" t="s">
        <v>276</v>
      </c>
      <c r="B46" s="2" t="s">
        <v>290</v>
      </c>
      <c r="C46" s="2" t="s">
        <v>144</v>
      </c>
      <c r="D46" s="2" t="s">
        <v>759</v>
      </c>
      <c r="E46" s="2" t="s">
        <v>760</v>
      </c>
      <c r="F46" s="2" t="s">
        <v>90</v>
      </c>
      <c r="G46" s="2" t="s">
        <v>761</v>
      </c>
    </row>
    <row r="47" ht="15" customHeight="1" spans="1:7">
      <c r="A47" s="2" t="s">
        <v>276</v>
      </c>
      <c r="B47" s="2" t="s">
        <v>277</v>
      </c>
      <c r="C47" s="2" t="s">
        <v>144</v>
      </c>
      <c r="D47" s="2" t="s">
        <v>762</v>
      </c>
      <c r="E47" s="2" t="s">
        <v>763</v>
      </c>
      <c r="F47" s="2" t="s">
        <v>90</v>
      </c>
      <c r="G47" s="2" t="s">
        <v>764</v>
      </c>
    </row>
    <row r="48" ht="15" customHeight="1" spans="1:7">
      <c r="A48" s="2" t="s">
        <v>276</v>
      </c>
      <c r="B48" s="2" t="s">
        <v>765</v>
      </c>
      <c r="C48" s="2" t="s">
        <v>144</v>
      </c>
      <c r="D48" s="2" t="s">
        <v>766</v>
      </c>
      <c r="E48" s="2" t="s">
        <v>767</v>
      </c>
      <c r="F48" s="2" t="s">
        <v>90</v>
      </c>
      <c r="G48" s="2" t="s">
        <v>768</v>
      </c>
    </row>
    <row r="49" ht="15" customHeight="1" spans="1:7">
      <c r="A49" s="2" t="s">
        <v>276</v>
      </c>
      <c r="B49" s="2" t="s">
        <v>769</v>
      </c>
      <c r="C49" s="2" t="s">
        <v>144</v>
      </c>
      <c r="D49" s="2" t="s">
        <v>770</v>
      </c>
      <c r="E49" s="2" t="s">
        <v>771</v>
      </c>
      <c r="F49" s="2" t="s">
        <v>275</v>
      </c>
      <c r="G49" s="2" t="s">
        <v>772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"/>
    </sheetView>
  </sheetViews>
  <sheetFormatPr defaultColWidth="9" defaultRowHeight="16.8"/>
  <cols>
    <col min="1" max="2" width="24" customWidth="1"/>
    <col min="3" max="3" width="20" customWidth="1"/>
    <col min="4" max="4" width="26" customWidth="1"/>
    <col min="5" max="6" width="24" customWidth="1"/>
    <col min="7" max="9" width="40" customWidth="1"/>
    <col min="10" max="10" width="60" customWidth="1"/>
  </cols>
  <sheetData>
    <row r="1" ht="15" customHeight="1" spans="1:10">
      <c r="A1" s="1" t="s">
        <v>116</v>
      </c>
      <c r="B1" s="1" t="s">
        <v>602</v>
      </c>
      <c r="C1" s="1" t="s">
        <v>773</v>
      </c>
      <c r="D1" s="1" t="s">
        <v>117</v>
      </c>
      <c r="E1" s="1" t="s">
        <v>774</v>
      </c>
      <c r="F1" s="1" t="s">
        <v>775</v>
      </c>
      <c r="G1" s="1" t="s">
        <v>776</v>
      </c>
      <c r="H1" s="1" t="s">
        <v>777</v>
      </c>
      <c r="I1" s="1" t="s">
        <v>778</v>
      </c>
      <c r="J1" s="1" t="s">
        <v>779</v>
      </c>
    </row>
    <row r="2" ht="26.4" customHeight="1" spans="1:10">
      <c r="A2" s="2" t="s">
        <v>190</v>
      </c>
      <c r="B2" s="2" t="s">
        <v>144</v>
      </c>
      <c r="C2" s="2" t="s">
        <v>780</v>
      </c>
      <c r="D2" s="2" t="s">
        <v>191</v>
      </c>
      <c r="E2" s="2" t="s">
        <v>781</v>
      </c>
      <c r="F2" s="2" t="s">
        <v>782</v>
      </c>
      <c r="G2" s="2" t="s">
        <v>783</v>
      </c>
      <c r="H2" s="2" t="s">
        <v>784</v>
      </c>
      <c r="I2" s="2" t="s">
        <v>785</v>
      </c>
      <c r="J2" s="2" t="s">
        <v>786</v>
      </c>
    </row>
    <row r="3" ht="26.4" customHeight="1" spans="1:10">
      <c r="A3" s="2" t="s">
        <v>392</v>
      </c>
      <c r="B3" s="2" t="s">
        <v>144</v>
      </c>
      <c r="C3" s="2" t="s">
        <v>787</v>
      </c>
      <c r="D3" s="2" t="s">
        <v>393</v>
      </c>
      <c r="E3" s="2" t="s">
        <v>788</v>
      </c>
      <c r="F3" s="2" t="s">
        <v>789</v>
      </c>
      <c r="G3" s="2" t="s">
        <v>790</v>
      </c>
      <c r="H3" s="2" t="s">
        <v>791</v>
      </c>
      <c r="I3" s="2" t="s">
        <v>792</v>
      </c>
      <c r="J3" s="2" t="s">
        <v>793</v>
      </c>
    </row>
    <row r="4" ht="26.4" customHeight="1" spans="1:10">
      <c r="A4" s="2" t="s">
        <v>250</v>
      </c>
      <c r="B4" s="2" t="s">
        <v>144</v>
      </c>
      <c r="C4" s="2" t="s">
        <v>794</v>
      </c>
      <c r="D4" s="2" t="s">
        <v>251</v>
      </c>
      <c r="E4" s="2" t="s">
        <v>795</v>
      </c>
      <c r="F4" s="2" t="s">
        <v>796</v>
      </c>
      <c r="G4" s="2" t="s">
        <v>797</v>
      </c>
      <c r="H4" s="2" t="s">
        <v>798</v>
      </c>
      <c r="I4" s="2" t="s">
        <v>799</v>
      </c>
      <c r="J4" s="2" t="s">
        <v>786</v>
      </c>
    </row>
    <row r="5" ht="26.4" customHeight="1" spans="1:10">
      <c r="A5" s="2" t="s">
        <v>238</v>
      </c>
      <c r="B5" s="2" t="s">
        <v>144</v>
      </c>
      <c r="C5" s="2" t="s">
        <v>800</v>
      </c>
      <c r="D5" s="2" t="s">
        <v>164</v>
      </c>
      <c r="E5" s="2" t="s">
        <v>801</v>
      </c>
      <c r="F5" s="2" t="s">
        <v>802</v>
      </c>
      <c r="G5" s="2" t="s">
        <v>803</v>
      </c>
      <c r="H5" s="2" t="s">
        <v>804</v>
      </c>
      <c r="I5" s="2" t="s">
        <v>805</v>
      </c>
      <c r="J5" s="2" t="s">
        <v>786</v>
      </c>
    </row>
    <row r="6" ht="26.4" customHeight="1" spans="1:10">
      <c r="A6" s="2" t="s">
        <v>263</v>
      </c>
      <c r="B6" s="2" t="s">
        <v>144</v>
      </c>
      <c r="C6" s="2" t="s">
        <v>806</v>
      </c>
      <c r="D6" s="2" t="s">
        <v>264</v>
      </c>
      <c r="E6" s="2" t="s">
        <v>807</v>
      </c>
      <c r="F6" s="2" t="s">
        <v>808</v>
      </c>
      <c r="G6" s="2" t="s">
        <v>809</v>
      </c>
      <c r="H6" s="2" t="s">
        <v>810</v>
      </c>
      <c r="I6" s="2" t="s">
        <v>811</v>
      </c>
      <c r="J6" s="2" t="s">
        <v>786</v>
      </c>
    </row>
    <row r="7" ht="26.4" customHeight="1" spans="1:10">
      <c r="A7" s="2" t="s">
        <v>176</v>
      </c>
      <c r="B7" s="2" t="s">
        <v>144</v>
      </c>
      <c r="C7" s="2" t="s">
        <v>812</v>
      </c>
      <c r="D7" s="2" t="s">
        <v>177</v>
      </c>
      <c r="E7" s="2" t="s">
        <v>813</v>
      </c>
      <c r="F7" s="2" t="s">
        <v>814</v>
      </c>
      <c r="G7" s="2" t="s">
        <v>815</v>
      </c>
      <c r="H7" s="2" t="s">
        <v>816</v>
      </c>
      <c r="I7" s="2" t="s">
        <v>817</v>
      </c>
      <c r="J7" s="2" t="s">
        <v>786</v>
      </c>
    </row>
    <row r="8" ht="26.4" customHeight="1" spans="1:10">
      <c r="A8" s="2" t="s">
        <v>163</v>
      </c>
      <c r="B8" s="2" t="s">
        <v>144</v>
      </c>
      <c r="C8" s="2" t="s">
        <v>818</v>
      </c>
      <c r="D8" s="2" t="s">
        <v>164</v>
      </c>
      <c r="E8" s="2" t="s">
        <v>819</v>
      </c>
      <c r="F8" s="2" t="s">
        <v>820</v>
      </c>
      <c r="G8" s="2" t="s">
        <v>821</v>
      </c>
      <c r="H8" s="2" t="s">
        <v>822</v>
      </c>
      <c r="I8" s="2" t="s">
        <v>823</v>
      </c>
      <c r="J8" s="2" t="s">
        <v>786</v>
      </c>
    </row>
    <row r="9" ht="26.4" customHeight="1" spans="1:10">
      <c r="A9" s="2" t="s">
        <v>212</v>
      </c>
      <c r="B9" s="2" t="s">
        <v>144</v>
      </c>
      <c r="C9" s="2" t="s">
        <v>824</v>
      </c>
      <c r="D9" s="2" t="s">
        <v>213</v>
      </c>
      <c r="E9" s="2" t="s">
        <v>825</v>
      </c>
      <c r="F9" s="2" t="s">
        <v>826</v>
      </c>
      <c r="G9" s="2" t="s">
        <v>827</v>
      </c>
      <c r="H9" s="2" t="s">
        <v>828</v>
      </c>
      <c r="I9" s="2" t="s">
        <v>829</v>
      </c>
      <c r="J9" s="2" t="s">
        <v>786</v>
      </c>
    </row>
    <row r="10" ht="26.4" customHeight="1" spans="1:10">
      <c r="A10" s="2" t="s">
        <v>302</v>
      </c>
      <c r="B10" s="2" t="s">
        <v>144</v>
      </c>
      <c r="C10" s="2" t="s">
        <v>830</v>
      </c>
      <c r="D10" s="2" t="s">
        <v>303</v>
      </c>
      <c r="E10" s="2" t="s">
        <v>831</v>
      </c>
      <c r="F10" s="2" t="s">
        <v>832</v>
      </c>
      <c r="G10" s="2" t="s">
        <v>833</v>
      </c>
      <c r="H10" s="2" t="s">
        <v>834</v>
      </c>
      <c r="I10" s="2" t="s">
        <v>835</v>
      </c>
      <c r="J10" s="2" t="s">
        <v>786</v>
      </c>
    </row>
    <row r="11" ht="26.4" customHeight="1" spans="1:10">
      <c r="A11" s="2" t="s">
        <v>836</v>
      </c>
      <c r="B11" s="2" t="s">
        <v>144</v>
      </c>
      <c r="C11" s="2" t="s">
        <v>837</v>
      </c>
      <c r="D11" s="2" t="s">
        <v>229</v>
      </c>
      <c r="E11" s="2" t="s">
        <v>838</v>
      </c>
      <c r="F11" s="2" t="s">
        <v>839</v>
      </c>
      <c r="G11" s="2" t="s">
        <v>840</v>
      </c>
      <c r="H11" s="2" t="s">
        <v>841</v>
      </c>
      <c r="I11" s="2" t="s">
        <v>842</v>
      </c>
      <c r="J11" s="2" t="s">
        <v>843</v>
      </c>
    </row>
    <row r="12" ht="26.4" customHeight="1" spans="1:10">
      <c r="A12" s="2" t="s">
        <v>359</v>
      </c>
      <c r="B12" s="2" t="s">
        <v>144</v>
      </c>
      <c r="C12" s="2" t="s">
        <v>844</v>
      </c>
      <c r="D12" s="2" t="s">
        <v>251</v>
      </c>
      <c r="E12" s="2" t="s">
        <v>845</v>
      </c>
      <c r="F12" s="2" t="s">
        <v>820</v>
      </c>
      <c r="G12" s="2" t="s">
        <v>846</v>
      </c>
      <c r="H12" s="2" t="s">
        <v>847</v>
      </c>
      <c r="I12" s="2" t="s">
        <v>848</v>
      </c>
      <c r="J12" s="2" t="s">
        <v>786</v>
      </c>
    </row>
    <row r="13" ht="26.4" customHeight="1" spans="1:10">
      <c r="A13" s="2" t="s">
        <v>278</v>
      </c>
      <c r="B13" s="2" t="s">
        <v>144</v>
      </c>
      <c r="C13" s="2" t="s">
        <v>849</v>
      </c>
      <c r="D13" s="2" t="s">
        <v>279</v>
      </c>
      <c r="E13" s="2" t="s">
        <v>850</v>
      </c>
      <c r="F13" s="2" t="s">
        <v>782</v>
      </c>
      <c r="G13" s="2" t="s">
        <v>851</v>
      </c>
      <c r="H13" s="2" t="s">
        <v>852</v>
      </c>
      <c r="I13" s="2" t="s">
        <v>853</v>
      </c>
      <c r="J13" s="2" t="s">
        <v>786</v>
      </c>
    </row>
    <row r="14" ht="26.4" customHeight="1" spans="1:10">
      <c r="A14" s="2" t="s">
        <v>854</v>
      </c>
      <c r="B14" s="2" t="s">
        <v>144</v>
      </c>
      <c r="C14" s="2" t="s">
        <v>855</v>
      </c>
      <c r="D14" s="2" t="s">
        <v>856</v>
      </c>
      <c r="E14" s="2" t="s">
        <v>857</v>
      </c>
      <c r="F14" s="2" t="s">
        <v>839</v>
      </c>
      <c r="G14" s="2" t="s">
        <v>858</v>
      </c>
      <c r="H14" s="2" t="s">
        <v>859</v>
      </c>
      <c r="I14" s="2" t="s">
        <v>860</v>
      </c>
      <c r="J14" s="2" t="s">
        <v>786</v>
      </c>
    </row>
    <row r="15" ht="26.4" customHeight="1" spans="1:10">
      <c r="A15" s="2" t="s">
        <v>291</v>
      </c>
      <c r="B15" s="2" t="s">
        <v>144</v>
      </c>
      <c r="C15" s="2" t="s">
        <v>861</v>
      </c>
      <c r="D15" s="2" t="s">
        <v>251</v>
      </c>
      <c r="E15" s="2" t="s">
        <v>862</v>
      </c>
      <c r="F15" s="2" t="s">
        <v>782</v>
      </c>
      <c r="G15" s="2" t="s">
        <v>863</v>
      </c>
      <c r="H15" s="2" t="s">
        <v>864</v>
      </c>
      <c r="I15" s="2" t="s">
        <v>865</v>
      </c>
      <c r="J15" s="2" t="s">
        <v>866</v>
      </c>
    </row>
    <row r="16" ht="26.4" customHeight="1" spans="1:10">
      <c r="A16" s="2" t="s">
        <v>148</v>
      </c>
      <c r="B16" s="2" t="s">
        <v>144</v>
      </c>
      <c r="C16" s="2" t="s">
        <v>867</v>
      </c>
      <c r="D16" s="2" t="s">
        <v>149</v>
      </c>
      <c r="E16" s="2" t="s">
        <v>868</v>
      </c>
      <c r="F16" s="2" t="s">
        <v>820</v>
      </c>
      <c r="G16" s="2" t="s">
        <v>869</v>
      </c>
      <c r="H16" s="2" t="s">
        <v>870</v>
      </c>
      <c r="I16" s="2" t="s">
        <v>871</v>
      </c>
      <c r="J16" s="2" t="s">
        <v>786</v>
      </c>
    </row>
    <row r="17" ht="26.4" customHeight="1" spans="1:10">
      <c r="A17" s="2" t="s">
        <v>228</v>
      </c>
      <c r="B17" s="2" t="s">
        <v>144</v>
      </c>
      <c r="C17" s="2" t="s">
        <v>872</v>
      </c>
      <c r="D17" s="2" t="s">
        <v>229</v>
      </c>
      <c r="E17" s="2" t="s">
        <v>873</v>
      </c>
      <c r="F17" s="2" t="s">
        <v>802</v>
      </c>
      <c r="G17" s="2" t="s">
        <v>874</v>
      </c>
      <c r="H17" s="2" t="s">
        <v>875</v>
      </c>
      <c r="I17" s="2" t="s">
        <v>876</v>
      </c>
      <c r="J17" s="2" t="s">
        <v>786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"/>
    </sheetView>
  </sheetViews>
  <sheetFormatPr defaultColWidth="9" defaultRowHeight="16.8" outlineLevelCol="7"/>
  <cols>
    <col min="1" max="6" width="24" customWidth="1"/>
    <col min="7" max="8" width="40" customWidth="1"/>
  </cols>
  <sheetData>
    <row r="1" ht="15" customHeight="1" spans="1:8">
      <c r="A1" s="1" t="s">
        <v>113</v>
      </c>
      <c r="B1" s="1" t="s">
        <v>602</v>
      </c>
      <c r="C1" s="1" t="s">
        <v>877</v>
      </c>
      <c r="D1" s="1" t="s">
        <v>776</v>
      </c>
      <c r="E1" s="1" t="s">
        <v>525</v>
      </c>
      <c r="F1" s="1" t="s">
        <v>878</v>
      </c>
      <c r="G1" s="1" t="s">
        <v>777</v>
      </c>
      <c r="H1" s="1" t="s">
        <v>779</v>
      </c>
    </row>
    <row r="2" ht="39.6" customHeight="1" spans="1:8">
      <c r="A2" s="2" t="s">
        <v>187</v>
      </c>
      <c r="B2" s="2" t="s">
        <v>144</v>
      </c>
      <c r="C2" s="2" t="s">
        <v>879</v>
      </c>
      <c r="D2" s="2" t="s">
        <v>880</v>
      </c>
      <c r="E2" s="2" t="s">
        <v>41</v>
      </c>
      <c r="F2" s="2" t="s">
        <v>881</v>
      </c>
      <c r="G2" s="2" t="s">
        <v>882</v>
      </c>
      <c r="H2" s="2" t="s">
        <v>883</v>
      </c>
    </row>
    <row r="3" ht="26.4" customHeight="1" spans="1:8">
      <c r="A3" s="2" t="s">
        <v>200</v>
      </c>
      <c r="B3" s="2" t="s">
        <v>144</v>
      </c>
      <c r="C3" s="2" t="s">
        <v>884</v>
      </c>
      <c r="D3" s="2" t="s">
        <v>885</v>
      </c>
      <c r="E3" s="2" t="s">
        <v>41</v>
      </c>
      <c r="F3" s="2" t="s">
        <v>886</v>
      </c>
      <c r="G3" s="2" t="s">
        <v>887</v>
      </c>
      <c r="H3" s="2" t="s">
        <v>883</v>
      </c>
    </row>
    <row r="4" ht="26.4" customHeight="1" spans="1:8">
      <c r="A4" s="2" t="s">
        <v>381</v>
      </c>
      <c r="B4" s="2" t="s">
        <v>144</v>
      </c>
      <c r="C4" s="2" t="s">
        <v>888</v>
      </c>
      <c r="D4" s="2" t="s">
        <v>889</v>
      </c>
      <c r="E4" s="2" t="s">
        <v>41</v>
      </c>
      <c r="F4" s="2" t="s">
        <v>890</v>
      </c>
      <c r="G4" s="2" t="s">
        <v>891</v>
      </c>
      <c r="H4" s="2" t="s">
        <v>883</v>
      </c>
    </row>
    <row r="5" ht="39.6" customHeight="1" spans="1:8">
      <c r="A5" s="2" t="s">
        <v>209</v>
      </c>
      <c r="B5" s="2" t="s">
        <v>144</v>
      </c>
      <c r="C5" s="2" t="s">
        <v>892</v>
      </c>
      <c r="D5" s="2" t="s">
        <v>893</v>
      </c>
      <c r="E5" s="2" t="s">
        <v>85</v>
      </c>
      <c r="F5" s="2" t="s">
        <v>894</v>
      </c>
      <c r="G5" s="2" t="s">
        <v>895</v>
      </c>
      <c r="H5" s="2" t="s">
        <v>883</v>
      </c>
    </row>
    <row r="6" ht="26.4" customHeight="1" spans="1:8">
      <c r="A6" s="2" t="s">
        <v>289</v>
      </c>
      <c r="B6" s="2" t="s">
        <v>144</v>
      </c>
      <c r="C6" s="2" t="s">
        <v>896</v>
      </c>
      <c r="D6" s="2" t="s">
        <v>897</v>
      </c>
      <c r="E6" s="2" t="s">
        <v>85</v>
      </c>
      <c r="F6" s="2" t="s">
        <v>898</v>
      </c>
      <c r="G6" s="2" t="s">
        <v>899</v>
      </c>
      <c r="H6" s="2" t="s">
        <v>883</v>
      </c>
    </row>
    <row r="7" ht="26.4" customHeight="1" spans="1:8">
      <c r="A7" s="2" t="s">
        <v>173</v>
      </c>
      <c r="B7" s="2" t="s">
        <v>144</v>
      </c>
      <c r="C7" s="2" t="s">
        <v>900</v>
      </c>
      <c r="D7" s="2" t="s">
        <v>901</v>
      </c>
      <c r="E7" s="2" t="s">
        <v>41</v>
      </c>
      <c r="F7" s="2" t="s">
        <v>902</v>
      </c>
      <c r="G7" s="2" t="s">
        <v>903</v>
      </c>
      <c r="H7" s="2" t="s">
        <v>883</v>
      </c>
    </row>
    <row r="8" ht="26.4" customHeight="1" spans="1:8">
      <c r="A8" s="2" t="s">
        <v>225</v>
      </c>
      <c r="B8" s="2" t="s">
        <v>144</v>
      </c>
      <c r="C8" s="2" t="s">
        <v>904</v>
      </c>
      <c r="D8" s="2" t="s">
        <v>874</v>
      </c>
      <c r="E8" s="2" t="s">
        <v>41</v>
      </c>
      <c r="F8" s="2" t="s">
        <v>905</v>
      </c>
      <c r="G8" s="2" t="s">
        <v>906</v>
      </c>
      <c r="H8" s="2" t="s">
        <v>883</v>
      </c>
    </row>
    <row r="9" ht="26.4" customHeight="1" spans="1:8">
      <c r="A9" s="2" t="s">
        <v>145</v>
      </c>
      <c r="B9" s="2" t="s">
        <v>144</v>
      </c>
      <c r="C9" s="2" t="s">
        <v>907</v>
      </c>
      <c r="D9" s="2" t="s">
        <v>908</v>
      </c>
      <c r="E9" s="2" t="s">
        <v>41</v>
      </c>
      <c r="F9" s="2" t="s">
        <v>909</v>
      </c>
      <c r="G9" s="2" t="s">
        <v>910</v>
      </c>
      <c r="H9" s="2" t="s">
        <v>883</v>
      </c>
    </row>
    <row r="10" ht="26.4" customHeight="1" spans="1:8">
      <c r="A10" s="2" t="s">
        <v>338</v>
      </c>
      <c r="B10" s="2" t="s">
        <v>144</v>
      </c>
      <c r="C10" s="2" t="s">
        <v>911</v>
      </c>
      <c r="D10" s="2" t="s">
        <v>912</v>
      </c>
      <c r="E10" s="2" t="s">
        <v>41</v>
      </c>
      <c r="F10" s="2" t="s">
        <v>913</v>
      </c>
      <c r="G10" s="2" t="s">
        <v>914</v>
      </c>
      <c r="H10" s="2" t="s">
        <v>883</v>
      </c>
    </row>
    <row r="11" ht="26.4" customHeight="1" spans="1:8">
      <c r="A11" s="2" t="s">
        <v>247</v>
      </c>
      <c r="B11" s="2" t="s">
        <v>144</v>
      </c>
      <c r="C11" s="2" t="s">
        <v>915</v>
      </c>
      <c r="D11" s="2" t="s">
        <v>916</v>
      </c>
      <c r="E11" s="2" t="s">
        <v>85</v>
      </c>
      <c r="F11" s="2" t="s">
        <v>917</v>
      </c>
      <c r="G11" s="2" t="s">
        <v>918</v>
      </c>
      <c r="H11" s="2" t="s">
        <v>883</v>
      </c>
    </row>
    <row r="12" ht="39.6" customHeight="1" spans="1:8">
      <c r="A12" s="2" t="s">
        <v>505</v>
      </c>
      <c r="B12" s="2" t="s">
        <v>919</v>
      </c>
      <c r="C12" s="2" t="s">
        <v>920</v>
      </c>
      <c r="D12" s="2" t="s">
        <v>921</v>
      </c>
      <c r="E12" s="2" t="s">
        <v>41</v>
      </c>
      <c r="F12" s="2" t="s">
        <v>922</v>
      </c>
      <c r="G12" s="2" t="s">
        <v>923</v>
      </c>
      <c r="H12" s="2" t="s">
        <v>924</v>
      </c>
    </row>
    <row r="13" ht="39.6" customHeight="1" spans="1:8">
      <c r="A13" s="2" t="s">
        <v>478</v>
      </c>
      <c r="B13" s="2" t="s">
        <v>919</v>
      </c>
      <c r="C13" s="2" t="s">
        <v>920</v>
      </c>
      <c r="D13" s="2" t="s">
        <v>925</v>
      </c>
      <c r="E13" s="2" t="s">
        <v>41</v>
      </c>
      <c r="F13" s="2" t="s">
        <v>926</v>
      </c>
      <c r="G13" s="2" t="s">
        <v>927</v>
      </c>
      <c r="H13" s="2" t="s">
        <v>924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6.8" outlineLevelCol="6"/>
  <cols>
    <col min="1" max="7" width="24" customWidth="1"/>
  </cols>
  <sheetData>
    <row r="1" ht="15" customHeight="1" spans="1:7">
      <c r="A1" s="1" t="s">
        <v>117</v>
      </c>
      <c r="B1" s="1" t="s">
        <v>602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779</v>
      </c>
    </row>
    <row r="2" ht="39.6" customHeight="1" spans="1:7">
      <c r="A2" s="2" t="s">
        <v>164</v>
      </c>
      <c r="B2" s="2" t="s">
        <v>144</v>
      </c>
      <c r="C2" s="2" t="s">
        <v>932</v>
      </c>
      <c r="D2" s="2" t="s">
        <v>933</v>
      </c>
      <c r="E2" s="2" t="s">
        <v>934</v>
      </c>
      <c r="F2" s="2" t="s">
        <v>935</v>
      </c>
      <c r="G2" s="2" t="s">
        <v>786</v>
      </c>
    </row>
    <row r="3" ht="39.6" customHeight="1" spans="1:7">
      <c r="A3" s="2" t="s">
        <v>393</v>
      </c>
      <c r="B3" s="2" t="s">
        <v>144</v>
      </c>
      <c r="C3" s="2" t="s">
        <v>936</v>
      </c>
      <c r="D3" s="2" t="s">
        <v>937</v>
      </c>
      <c r="E3" s="2" t="s">
        <v>938</v>
      </c>
      <c r="F3" s="2" t="s">
        <v>939</v>
      </c>
      <c r="G3" s="2" t="s">
        <v>786</v>
      </c>
    </row>
    <row r="4" ht="39.6" customHeight="1" spans="1:7">
      <c r="A4" s="2" t="s">
        <v>303</v>
      </c>
      <c r="B4" s="2" t="s">
        <v>144</v>
      </c>
      <c r="C4" s="2" t="s">
        <v>940</v>
      </c>
      <c r="D4" s="2" t="s">
        <v>941</v>
      </c>
      <c r="E4" s="2" t="s">
        <v>942</v>
      </c>
      <c r="F4" s="2" t="s">
        <v>943</v>
      </c>
      <c r="G4" s="2" t="s">
        <v>786</v>
      </c>
    </row>
    <row r="5" ht="39.6" customHeight="1" spans="1:7">
      <c r="A5" s="2" t="s">
        <v>229</v>
      </c>
      <c r="B5" s="2" t="s">
        <v>144</v>
      </c>
      <c r="C5" s="2" t="s">
        <v>944</v>
      </c>
      <c r="D5" s="2" t="s">
        <v>945</v>
      </c>
      <c r="E5" s="2" t="s">
        <v>946</v>
      </c>
      <c r="F5" s="2" t="s">
        <v>947</v>
      </c>
      <c r="G5" s="2" t="s">
        <v>786</v>
      </c>
    </row>
    <row r="6" ht="39.6" customHeight="1" spans="1:7">
      <c r="A6" s="2" t="s">
        <v>191</v>
      </c>
      <c r="B6" s="2" t="s">
        <v>144</v>
      </c>
      <c r="C6" s="2" t="s">
        <v>948</v>
      </c>
      <c r="D6" s="2" t="s">
        <v>949</v>
      </c>
      <c r="E6" s="2" t="s">
        <v>950</v>
      </c>
      <c r="F6" s="2" t="s">
        <v>951</v>
      </c>
      <c r="G6" s="2" t="s">
        <v>786</v>
      </c>
    </row>
    <row r="7" ht="39.6" customHeight="1" spans="1:7">
      <c r="A7" s="2" t="s">
        <v>213</v>
      </c>
      <c r="B7" s="2" t="s">
        <v>144</v>
      </c>
      <c r="C7" s="2" t="s">
        <v>952</v>
      </c>
      <c r="D7" s="2" t="s">
        <v>953</v>
      </c>
      <c r="E7" s="2" t="s">
        <v>954</v>
      </c>
      <c r="F7" s="2" t="s">
        <v>955</v>
      </c>
      <c r="G7" s="2" t="s">
        <v>786</v>
      </c>
    </row>
    <row r="8" ht="39.6" customHeight="1" spans="1:7">
      <c r="A8" s="2" t="s">
        <v>279</v>
      </c>
      <c r="B8" s="2" t="s">
        <v>144</v>
      </c>
      <c r="C8" s="2" t="s">
        <v>956</v>
      </c>
      <c r="D8" s="2" t="s">
        <v>957</v>
      </c>
      <c r="E8" s="2" t="s">
        <v>958</v>
      </c>
      <c r="F8" s="2" t="s">
        <v>959</v>
      </c>
      <c r="G8" s="2" t="s">
        <v>786</v>
      </c>
    </row>
    <row r="9" ht="39.6" customHeight="1" spans="1:7">
      <c r="A9" s="2" t="s">
        <v>264</v>
      </c>
      <c r="B9" s="2" t="s">
        <v>144</v>
      </c>
      <c r="C9" s="2" t="s">
        <v>960</v>
      </c>
      <c r="D9" s="2" t="s">
        <v>961</v>
      </c>
      <c r="E9" s="2" t="s">
        <v>962</v>
      </c>
      <c r="F9" s="2" t="s">
        <v>963</v>
      </c>
      <c r="G9" s="2" t="s">
        <v>786</v>
      </c>
    </row>
    <row r="10" ht="39.6" customHeight="1" spans="1:7">
      <c r="A10" s="2" t="s">
        <v>149</v>
      </c>
      <c r="B10" s="2" t="s">
        <v>144</v>
      </c>
      <c r="C10" s="2" t="s">
        <v>964</v>
      </c>
      <c r="D10" s="2" t="s">
        <v>965</v>
      </c>
      <c r="E10" s="2" t="s">
        <v>966</v>
      </c>
      <c r="F10" s="2" t="s">
        <v>967</v>
      </c>
      <c r="G10" s="2" t="s">
        <v>786</v>
      </c>
    </row>
    <row r="11" ht="39.6" customHeight="1" spans="1:7">
      <c r="A11" s="2" t="s">
        <v>251</v>
      </c>
      <c r="B11" s="2" t="s">
        <v>144</v>
      </c>
      <c r="C11" s="2" t="s">
        <v>968</v>
      </c>
      <c r="D11" s="2" t="s">
        <v>969</v>
      </c>
      <c r="E11" s="2" t="s">
        <v>970</v>
      </c>
      <c r="F11" s="2" t="s">
        <v>971</v>
      </c>
      <c r="G11" s="2" t="s">
        <v>786</v>
      </c>
    </row>
    <row r="12" ht="39.6" customHeight="1" spans="1:7">
      <c r="A12" s="2" t="s">
        <v>856</v>
      </c>
      <c r="B12" s="2" t="s">
        <v>144</v>
      </c>
      <c r="C12" s="2" t="s">
        <v>972</v>
      </c>
      <c r="D12" s="2" t="s">
        <v>973</v>
      </c>
      <c r="E12" s="2" t="s">
        <v>974</v>
      </c>
      <c r="F12" s="2" t="s">
        <v>975</v>
      </c>
      <c r="G12" s="2" t="s">
        <v>786</v>
      </c>
    </row>
    <row r="13" ht="39.6" customHeight="1" spans="1:7">
      <c r="A13" s="2" t="s">
        <v>177</v>
      </c>
      <c r="B13" s="2" t="s">
        <v>144</v>
      </c>
      <c r="C13" s="2" t="s">
        <v>976</v>
      </c>
      <c r="D13" s="2" t="s">
        <v>977</v>
      </c>
      <c r="E13" s="2" t="s">
        <v>978</v>
      </c>
      <c r="F13" s="2" t="s">
        <v>979</v>
      </c>
      <c r="G13" s="2" t="s">
        <v>786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6.8" outlineLevelCol="4"/>
  <cols>
    <col min="1" max="5" width="38" customWidth="1"/>
  </cols>
  <sheetData>
    <row r="1" ht="15" customHeight="1" spans="1:5">
      <c r="A1" s="1" t="s">
        <v>980</v>
      </c>
      <c r="B1" s="1" t="s">
        <v>981</v>
      </c>
      <c r="C1" s="1" t="s">
        <v>982</v>
      </c>
      <c r="D1" s="1" t="s">
        <v>983</v>
      </c>
      <c r="E1" s="1" t="s">
        <v>779</v>
      </c>
    </row>
    <row r="2" ht="39.6" customHeight="1" spans="1:5">
      <c r="A2" s="2" t="s">
        <v>984</v>
      </c>
      <c r="B2" s="2" t="s">
        <v>985</v>
      </c>
      <c r="C2" s="2" t="s">
        <v>986</v>
      </c>
      <c r="D2" s="2" t="s">
        <v>987</v>
      </c>
      <c r="E2" s="2" t="s">
        <v>924</v>
      </c>
    </row>
    <row r="3" ht="52.8" customHeight="1" spans="1:5">
      <c r="A3" s="2" t="s">
        <v>988</v>
      </c>
      <c r="B3" s="2" t="s">
        <v>989</v>
      </c>
      <c r="C3" s="2" t="s">
        <v>990</v>
      </c>
      <c r="D3" s="2" t="s">
        <v>991</v>
      </c>
      <c r="E3" s="2" t="s">
        <v>924</v>
      </c>
    </row>
    <row r="4" ht="26.4" customHeight="1" spans="1:5">
      <c r="A4" s="2" t="s">
        <v>992</v>
      </c>
      <c r="B4" s="2" t="s">
        <v>993</v>
      </c>
      <c r="C4" s="2" t="s">
        <v>994</v>
      </c>
      <c r="D4" s="2" t="s">
        <v>995</v>
      </c>
      <c r="E4" s="2" t="s">
        <v>924</v>
      </c>
    </row>
    <row r="5" ht="26.4" customHeight="1" spans="1:5">
      <c r="A5" s="2" t="s">
        <v>996</v>
      </c>
      <c r="B5" s="2" t="s">
        <v>997</v>
      </c>
      <c r="C5" s="2" t="s">
        <v>998</v>
      </c>
      <c r="D5" s="2" t="s">
        <v>999</v>
      </c>
      <c r="E5" s="2" t="s">
        <v>786</v>
      </c>
    </row>
    <row r="6" ht="26.4" customHeight="1" spans="1:5">
      <c r="A6" s="2" t="s">
        <v>1000</v>
      </c>
      <c r="B6" s="2" t="s">
        <v>1001</v>
      </c>
      <c r="C6" s="2" t="s">
        <v>1002</v>
      </c>
      <c r="D6" s="2" t="s">
        <v>1003</v>
      </c>
      <c r="E6" s="2" t="s">
        <v>786</v>
      </c>
    </row>
    <row r="7" ht="39.6" customHeight="1" spans="1:5">
      <c r="A7" s="2" t="s">
        <v>1004</v>
      </c>
      <c r="B7" s="2" t="s">
        <v>1005</v>
      </c>
      <c r="C7" s="2" t="s">
        <v>1006</v>
      </c>
      <c r="D7" s="2" t="s">
        <v>1007</v>
      </c>
      <c r="E7" s="2" t="s">
        <v>924</v>
      </c>
    </row>
    <row r="8" ht="26.4" customHeight="1" spans="1:5">
      <c r="A8" s="2" t="s">
        <v>1008</v>
      </c>
      <c r="B8" s="2" t="s">
        <v>1009</v>
      </c>
      <c r="C8" s="2" t="s">
        <v>1010</v>
      </c>
      <c r="D8" s="2" t="s">
        <v>1011</v>
      </c>
      <c r="E8" s="2" t="s">
        <v>1012</v>
      </c>
    </row>
    <row r="9" ht="26.4" customHeight="1" spans="1:5">
      <c r="A9" s="2" t="s">
        <v>1013</v>
      </c>
      <c r="B9" s="2" t="s">
        <v>1014</v>
      </c>
      <c r="C9" s="2" t="s">
        <v>1015</v>
      </c>
      <c r="D9" s="2" t="s">
        <v>1016</v>
      </c>
      <c r="E9" s="2" t="s">
        <v>1012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6.8" outlineLevelCol="6"/>
  <cols>
    <col min="1" max="7" width="38" customWidth="1"/>
  </cols>
  <sheetData>
    <row r="1" ht="15" customHeight="1" spans="1:7">
      <c r="A1" s="1" t="s">
        <v>1017</v>
      </c>
      <c r="B1" s="1" t="s">
        <v>1018</v>
      </c>
      <c r="C1" s="1" t="s">
        <v>1019</v>
      </c>
      <c r="D1" s="1" t="s">
        <v>1020</v>
      </c>
      <c r="E1" s="1" t="s">
        <v>1021</v>
      </c>
      <c r="F1" s="1" t="s">
        <v>1022</v>
      </c>
      <c r="G1" s="1" t="s">
        <v>779</v>
      </c>
    </row>
    <row r="2" ht="26.4" customHeight="1" spans="1:7">
      <c r="A2" s="2" t="s">
        <v>1023</v>
      </c>
      <c r="B2" s="2" t="s">
        <v>1024</v>
      </c>
      <c r="C2" s="2" t="s">
        <v>1025</v>
      </c>
      <c r="D2" s="2" t="s">
        <v>1026</v>
      </c>
      <c r="E2" s="2" t="s">
        <v>1027</v>
      </c>
      <c r="F2" s="2" t="s">
        <v>1028</v>
      </c>
      <c r="G2" s="2" t="s">
        <v>924</v>
      </c>
    </row>
    <row r="3" ht="26.4" customHeight="1" spans="1:7">
      <c r="A3" s="2" t="s">
        <v>1029</v>
      </c>
      <c r="B3" s="2" t="s">
        <v>1030</v>
      </c>
      <c r="C3" s="2" t="s">
        <v>1031</v>
      </c>
      <c r="D3" s="2" t="s">
        <v>1032</v>
      </c>
      <c r="E3" s="2" t="s">
        <v>1033</v>
      </c>
      <c r="F3" s="2" t="s">
        <v>1034</v>
      </c>
      <c r="G3" s="2" t="s">
        <v>1012</v>
      </c>
    </row>
    <row r="4" ht="26.4" customHeight="1" spans="1:7">
      <c r="A4" s="2" t="s">
        <v>1035</v>
      </c>
      <c r="B4" s="2" t="s">
        <v>1030</v>
      </c>
      <c r="C4" s="2" t="s">
        <v>1031</v>
      </c>
      <c r="D4" s="2" t="s">
        <v>1036</v>
      </c>
      <c r="E4" s="2" t="s">
        <v>1037</v>
      </c>
      <c r="F4" s="2" t="s">
        <v>1038</v>
      </c>
      <c r="G4" s="2" t="s">
        <v>1012</v>
      </c>
    </row>
    <row r="5" ht="26.4" customHeight="1" spans="1:7">
      <c r="A5" s="2" t="s">
        <v>434</v>
      </c>
      <c r="B5" s="2" t="s">
        <v>1030</v>
      </c>
      <c r="C5" s="2" t="s">
        <v>1031</v>
      </c>
      <c r="D5" s="2" t="s">
        <v>1039</v>
      </c>
      <c r="E5" s="2" t="s">
        <v>1040</v>
      </c>
      <c r="F5" s="2" t="s">
        <v>1041</v>
      </c>
      <c r="G5" s="2" t="s">
        <v>1012</v>
      </c>
    </row>
    <row r="6" ht="26.4" customHeight="1" spans="1:7">
      <c r="A6" s="2" t="s">
        <v>424</v>
      </c>
      <c r="B6" s="2" t="s">
        <v>1030</v>
      </c>
      <c r="C6" s="2" t="s">
        <v>1031</v>
      </c>
      <c r="D6" s="2" t="s">
        <v>1042</v>
      </c>
      <c r="E6" s="2" t="s">
        <v>1043</v>
      </c>
      <c r="F6" s="2" t="s">
        <v>1044</v>
      </c>
      <c r="G6" s="2" t="s">
        <v>1012</v>
      </c>
    </row>
    <row r="7" ht="26.4" customHeight="1" spans="1:7">
      <c r="A7" s="2" t="s">
        <v>452</v>
      </c>
      <c r="B7" s="2" t="s">
        <v>1030</v>
      </c>
      <c r="C7" s="2" t="s">
        <v>1031</v>
      </c>
      <c r="D7" s="2" t="s">
        <v>1045</v>
      </c>
      <c r="E7" s="2" t="s">
        <v>1046</v>
      </c>
      <c r="F7" s="2" t="s">
        <v>1047</v>
      </c>
      <c r="G7" s="2" t="s">
        <v>1012</v>
      </c>
    </row>
    <row r="8" ht="26.4" customHeight="1" spans="1:7">
      <c r="A8" s="2" t="s">
        <v>460</v>
      </c>
      <c r="B8" s="2" t="s">
        <v>1030</v>
      </c>
      <c r="C8" s="2" t="s">
        <v>1031</v>
      </c>
      <c r="D8" s="2" t="s">
        <v>1048</v>
      </c>
      <c r="E8" s="2" t="s">
        <v>1049</v>
      </c>
      <c r="F8" s="2" t="s">
        <v>1050</v>
      </c>
      <c r="G8" s="2" t="s">
        <v>1012</v>
      </c>
    </row>
    <row r="9" ht="26.4" customHeight="1" spans="1:7">
      <c r="A9" s="2" t="s">
        <v>469</v>
      </c>
      <c r="B9" s="2" t="s">
        <v>1030</v>
      </c>
      <c r="C9" s="2" t="s">
        <v>1031</v>
      </c>
      <c r="D9" s="2" t="s">
        <v>1051</v>
      </c>
      <c r="E9" s="2" t="s">
        <v>1052</v>
      </c>
      <c r="F9" s="2" t="s">
        <v>1053</v>
      </c>
      <c r="G9" s="2" t="s">
        <v>1012</v>
      </c>
    </row>
    <row r="10" ht="26.4" customHeight="1" spans="1:7">
      <c r="A10" s="2" t="s">
        <v>444</v>
      </c>
      <c r="B10" s="2" t="s">
        <v>1030</v>
      </c>
      <c r="C10" s="2" t="s">
        <v>1031</v>
      </c>
      <c r="D10" s="2" t="s">
        <v>1054</v>
      </c>
      <c r="E10" s="2" t="s">
        <v>1055</v>
      </c>
      <c r="F10" s="2" t="s">
        <v>1056</v>
      </c>
      <c r="G10" s="2" t="s">
        <v>1012</v>
      </c>
    </row>
    <row r="11" ht="26.4" customHeight="1" spans="1:7">
      <c r="A11" s="2" t="s">
        <v>413</v>
      </c>
      <c r="B11" s="2" t="s">
        <v>1030</v>
      </c>
      <c r="C11" s="2" t="s">
        <v>1031</v>
      </c>
      <c r="D11" s="2" t="s">
        <v>1057</v>
      </c>
      <c r="E11" s="2" t="s">
        <v>1058</v>
      </c>
      <c r="F11" s="2" t="s">
        <v>1059</v>
      </c>
      <c r="G11" s="2" t="s">
        <v>1012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6.8" outlineLevelCol="3"/>
  <cols>
    <col min="1" max="1" width="18" customWidth="1"/>
    <col min="2" max="2" width="78" customWidth="1"/>
    <col min="3" max="3" width="38" customWidth="1"/>
    <col min="4" max="4" width="50" customWidth="1"/>
  </cols>
  <sheetData>
    <row r="1" ht="15" customHeight="1" spans="1:4">
      <c r="A1" s="1" t="s">
        <v>1060</v>
      </c>
      <c r="B1" s="1" t="s">
        <v>1061</v>
      </c>
      <c r="C1" s="1" t="s">
        <v>4</v>
      </c>
      <c r="D1" s="1" t="s">
        <v>1062</v>
      </c>
    </row>
    <row r="2" ht="15" customHeight="1" spans="1:4">
      <c r="A2" s="2" t="s">
        <v>1063</v>
      </c>
      <c r="B2" s="2" t="s">
        <v>1064</v>
      </c>
      <c r="C2" s="2" t="s">
        <v>1065</v>
      </c>
      <c r="D2" s="2" t="s">
        <v>65</v>
      </c>
    </row>
    <row r="3" ht="15" customHeight="1" spans="1:4">
      <c r="A3" s="2" t="s">
        <v>1063</v>
      </c>
      <c r="B3" s="2" t="s">
        <v>1066</v>
      </c>
      <c r="C3" s="2" t="s">
        <v>1067</v>
      </c>
      <c r="D3" s="2" t="s">
        <v>65</v>
      </c>
    </row>
    <row r="4" ht="15" customHeight="1" spans="1:4">
      <c r="A4" s="2" t="s">
        <v>1068</v>
      </c>
      <c r="B4" s="2" t="s">
        <v>1069</v>
      </c>
      <c r="C4" s="2" t="s">
        <v>1070</v>
      </c>
      <c r="D4" s="2" t="s">
        <v>65</v>
      </c>
    </row>
    <row r="5" ht="15" customHeight="1" spans="1:4">
      <c r="A5" s="2" t="s">
        <v>1068</v>
      </c>
      <c r="B5" s="2" t="s">
        <v>1071</v>
      </c>
      <c r="C5" s="2" t="s">
        <v>1072</v>
      </c>
      <c r="D5" s="2" t="s">
        <v>65</v>
      </c>
    </row>
    <row r="6" ht="15" customHeight="1" spans="1:4">
      <c r="A6" s="2" t="s">
        <v>1073</v>
      </c>
      <c r="B6" s="2" t="s">
        <v>1074</v>
      </c>
      <c r="C6" s="2" t="s">
        <v>1075</v>
      </c>
      <c r="D6" s="2" t="s">
        <v>65</v>
      </c>
    </row>
    <row r="7" ht="15" customHeight="1" spans="1:4">
      <c r="A7" s="2" t="s">
        <v>1076</v>
      </c>
      <c r="B7" s="2" t="s">
        <v>1077</v>
      </c>
      <c r="C7" s="2" t="s">
        <v>1078</v>
      </c>
      <c r="D7" s="2" t="s">
        <v>65</v>
      </c>
    </row>
    <row r="8" ht="15" customHeight="1" spans="1:4">
      <c r="A8" s="2" t="s">
        <v>1079</v>
      </c>
      <c r="B8" s="2" t="s">
        <v>1080</v>
      </c>
      <c r="C8" s="2" t="s">
        <v>1081</v>
      </c>
      <c r="D8" s="2" t="s">
        <v>65</v>
      </c>
    </row>
    <row r="9" ht="15" customHeight="1" spans="1:4">
      <c r="A9" s="2" t="s">
        <v>1082</v>
      </c>
      <c r="B9" s="2" t="s">
        <v>1083</v>
      </c>
      <c r="C9" s="2" t="s">
        <v>1084</v>
      </c>
      <c r="D9" s="2" t="s">
        <v>65</v>
      </c>
    </row>
    <row r="10" ht="15" customHeight="1" spans="1:4">
      <c r="A10" s="2" t="s">
        <v>1085</v>
      </c>
      <c r="B10" s="2" t="s">
        <v>1086</v>
      </c>
      <c r="C10" s="2" t="s">
        <v>1087</v>
      </c>
      <c r="D10" s="2" t="s">
        <v>65</v>
      </c>
    </row>
  </sheetData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6.8" outlineLevelCol="3"/>
  <cols>
    <col min="1" max="1" width="24" customWidth="1"/>
    <col min="2" max="2" width="70" customWidth="1"/>
    <col min="3" max="4" width="24" customWidth="1"/>
  </cols>
  <sheetData>
    <row r="1" ht="26.4" customHeight="1" spans="1:4">
      <c r="A1" s="1" t="s">
        <v>1088</v>
      </c>
      <c r="B1" s="1" t="s">
        <v>1089</v>
      </c>
      <c r="C1" s="1" t="s">
        <v>1090</v>
      </c>
      <c r="D1" s="1" t="s">
        <v>1091</v>
      </c>
    </row>
    <row r="2" ht="39.6" customHeight="1" spans="1:4">
      <c r="A2" s="2" t="s">
        <v>1092</v>
      </c>
      <c r="B2" s="2" t="s">
        <v>1093</v>
      </c>
      <c r="C2" s="2" t="s">
        <v>1094</v>
      </c>
      <c r="D2" s="2" t="s">
        <v>1095</v>
      </c>
    </row>
    <row r="3" ht="52.8" customHeight="1" spans="1:4">
      <c r="A3" s="2" t="s">
        <v>1096</v>
      </c>
      <c r="B3" s="2" t="s">
        <v>924</v>
      </c>
      <c r="C3" s="2" t="s">
        <v>1097</v>
      </c>
      <c r="D3" s="2" t="s">
        <v>1098</v>
      </c>
    </row>
    <row r="4" ht="52.8" customHeight="1" spans="1:4">
      <c r="A4" s="2" t="s">
        <v>1099</v>
      </c>
      <c r="B4" s="2" t="s">
        <v>786</v>
      </c>
      <c r="C4" s="2" t="s">
        <v>1100</v>
      </c>
      <c r="D4" s="2" t="s">
        <v>1098</v>
      </c>
    </row>
    <row r="5" ht="39.6" customHeight="1" spans="1:4">
      <c r="A5" s="2" t="s">
        <v>1101</v>
      </c>
      <c r="B5" s="2" t="s">
        <v>883</v>
      </c>
      <c r="C5" s="2" t="s">
        <v>1102</v>
      </c>
      <c r="D5" s="2" t="s">
        <v>1098</v>
      </c>
    </row>
    <row r="6" ht="66" customHeight="1" spans="1:4">
      <c r="A6" s="2" t="s">
        <v>1103</v>
      </c>
      <c r="B6" s="2" t="s">
        <v>1012</v>
      </c>
      <c r="C6" s="2" t="s">
        <v>1104</v>
      </c>
      <c r="D6" s="2" t="s">
        <v>1105</v>
      </c>
    </row>
    <row r="7" ht="52.8" customHeight="1" spans="1:4">
      <c r="A7" s="2" t="s">
        <v>1106</v>
      </c>
      <c r="B7" s="2" t="s">
        <v>1107</v>
      </c>
      <c r="C7" s="2" t="s">
        <v>1108</v>
      </c>
      <c r="D7" s="2" t="s">
        <v>1109</v>
      </c>
    </row>
    <row r="8" ht="26.4" customHeight="1" spans="1:4">
      <c r="A8" s="2" t="s">
        <v>1110</v>
      </c>
      <c r="B8" s="2" t="s">
        <v>843</v>
      </c>
      <c r="C8" s="2" t="s">
        <v>1111</v>
      </c>
      <c r="D8" s="2" t="s">
        <v>1112</v>
      </c>
    </row>
    <row r="9" ht="26.4" customHeight="1" spans="1:4">
      <c r="A9" s="2" t="s">
        <v>1113</v>
      </c>
      <c r="B9" s="2" t="s">
        <v>793</v>
      </c>
      <c r="C9" s="2" t="s">
        <v>1114</v>
      </c>
      <c r="D9" s="2" t="s">
        <v>1112</v>
      </c>
    </row>
    <row r="10" ht="26.4" customHeight="1" spans="1:4">
      <c r="A10" s="2" t="s">
        <v>1115</v>
      </c>
      <c r="B10" s="2" t="s">
        <v>866</v>
      </c>
      <c r="C10" s="2" t="s">
        <v>1116</v>
      </c>
      <c r="D10" s="2" t="s">
        <v>1112</v>
      </c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A1" sqref="A1"/>
    </sheetView>
  </sheetViews>
  <sheetFormatPr defaultColWidth="9" defaultRowHeight="16.8"/>
  <cols>
    <col min="1" max="10" width="25" customWidth="1"/>
  </cols>
  <sheetData>
    <row r="1" ht="15" customHeight="1" spans="1:10">
      <c r="A1" s="1" t="s">
        <v>1117</v>
      </c>
      <c r="B1" s="1" t="s">
        <v>1118</v>
      </c>
      <c r="C1" s="1" t="s">
        <v>525</v>
      </c>
      <c r="D1" s="1" t="s">
        <v>1119</v>
      </c>
      <c r="E1" s="1" t="s">
        <v>1120</v>
      </c>
      <c r="F1" s="1" t="s">
        <v>1121</v>
      </c>
      <c r="G1" s="1" t="s">
        <v>1122</v>
      </c>
      <c r="H1" s="1" t="s">
        <v>1123</v>
      </c>
      <c r="I1" s="1" t="s">
        <v>1124</v>
      </c>
      <c r="J1" s="1" t="s">
        <v>1125</v>
      </c>
    </row>
    <row r="2" ht="15" customHeight="1" spans="1:10">
      <c r="A2" s="2" t="s">
        <v>76</v>
      </c>
      <c r="B2" s="2" t="s">
        <v>79</v>
      </c>
      <c r="C2" s="2" t="s">
        <v>41</v>
      </c>
      <c r="D2" s="2" t="s">
        <v>1126</v>
      </c>
      <c r="E2" s="2" t="s">
        <v>1127</v>
      </c>
      <c r="F2" s="2" t="s">
        <v>1128</v>
      </c>
      <c r="G2" s="2" t="s">
        <v>53</v>
      </c>
      <c r="H2" s="2" t="s">
        <v>56</v>
      </c>
      <c r="I2" s="2" t="s">
        <v>59</v>
      </c>
      <c r="J2" s="2" t="s">
        <v>1129</v>
      </c>
    </row>
    <row r="3" ht="15" customHeight="1" spans="1:10">
      <c r="A3" s="2" t="s">
        <v>81</v>
      </c>
      <c r="B3" s="2" t="s">
        <v>84</v>
      </c>
      <c r="C3" s="2" t="s">
        <v>90</v>
      </c>
      <c r="D3" s="2" t="s">
        <v>1130</v>
      </c>
      <c r="E3" s="2" t="s">
        <v>1131</v>
      </c>
      <c r="F3" s="2" t="s">
        <v>1132</v>
      </c>
      <c r="G3" s="2" t="s">
        <v>1031</v>
      </c>
      <c r="H3" s="2" t="s">
        <v>1133</v>
      </c>
      <c r="I3" s="2" t="s">
        <v>155</v>
      </c>
      <c r="J3" s="2" t="s">
        <v>1134</v>
      </c>
    </row>
    <row r="4" ht="26.4" customHeight="1" spans="1:10">
      <c r="A4" s="2" t="s">
        <v>87</v>
      </c>
      <c r="B4" s="2" t="s">
        <v>38</v>
      </c>
      <c r="C4" s="2" t="s">
        <v>275</v>
      </c>
      <c r="D4" s="2" t="s">
        <v>1135</v>
      </c>
      <c r="E4" s="2" t="s">
        <v>1136</v>
      </c>
      <c r="F4" s="2" t="s">
        <v>1137</v>
      </c>
      <c r="G4" s="2" t="s">
        <v>1025</v>
      </c>
      <c r="H4" s="2"/>
      <c r="I4" s="2" t="s">
        <v>218</v>
      </c>
      <c r="J4" s="2" t="s">
        <v>1138</v>
      </c>
    </row>
    <row r="5" ht="15" customHeight="1" spans="1:10">
      <c r="A5" s="2" t="s">
        <v>35</v>
      </c>
      <c r="B5" s="2" t="s">
        <v>94</v>
      </c>
      <c r="C5" s="2"/>
      <c r="D5" s="2" t="s">
        <v>1139</v>
      </c>
      <c r="E5" s="2" t="s">
        <v>1140</v>
      </c>
      <c r="F5" s="2" t="s">
        <v>1141</v>
      </c>
      <c r="G5" s="2"/>
      <c r="H5" s="2"/>
      <c r="I5" s="2" t="s">
        <v>344</v>
      </c>
      <c r="J5" s="2" t="s">
        <v>1142</v>
      </c>
    </row>
    <row r="6" ht="15" customHeight="1" spans="1:10">
      <c r="A6" s="2" t="s">
        <v>97</v>
      </c>
      <c r="B6" s="2"/>
      <c r="C6" s="2"/>
      <c r="D6" s="2" t="s">
        <v>1143</v>
      </c>
      <c r="E6" s="2" t="s">
        <v>1144</v>
      </c>
      <c r="F6" s="2" t="s">
        <v>1145</v>
      </c>
      <c r="G6" s="2"/>
      <c r="H6" s="2"/>
      <c r="I6" s="2" t="s">
        <v>269</v>
      </c>
      <c r="J6" s="2" t="s">
        <v>1146</v>
      </c>
    </row>
    <row r="7" ht="15" customHeight="1" spans="1:10">
      <c r="A7" s="2"/>
      <c r="B7" s="2"/>
      <c r="C7" s="2"/>
      <c r="D7" s="2" t="s">
        <v>1147</v>
      </c>
      <c r="E7" s="2" t="s">
        <v>1148</v>
      </c>
      <c r="F7" s="2" t="s">
        <v>50</v>
      </c>
      <c r="G7" s="2"/>
      <c r="H7" s="2"/>
      <c r="I7" s="2"/>
      <c r="J7" s="2" t="s">
        <v>1149</v>
      </c>
    </row>
    <row r="8" ht="15" customHeight="1" spans="1:10">
      <c r="A8" s="2"/>
      <c r="B8" s="2"/>
      <c r="C8" s="2"/>
      <c r="D8" s="2" t="s">
        <v>1150</v>
      </c>
      <c r="E8" s="2" t="s">
        <v>47</v>
      </c>
      <c r="F8" s="2" t="s">
        <v>1151</v>
      </c>
      <c r="G8" s="2"/>
      <c r="H8" s="2"/>
      <c r="I8" s="2"/>
      <c r="J8" s="2" t="s">
        <v>1152</v>
      </c>
    </row>
    <row r="9" ht="15" customHeight="1" spans="1:10">
      <c r="A9" s="2"/>
      <c r="B9" s="2"/>
      <c r="C9" s="2"/>
      <c r="D9" s="2" t="s">
        <v>44</v>
      </c>
      <c r="E9" s="2" t="s">
        <v>1153</v>
      </c>
      <c r="F9" s="2" t="s">
        <v>1154</v>
      </c>
      <c r="G9" s="2"/>
      <c r="H9" s="2"/>
      <c r="I9" s="2"/>
      <c r="J9" s="2" t="s">
        <v>62</v>
      </c>
    </row>
    <row r="10" ht="15" customHeight="1" spans="1:10">
      <c r="A10" s="2"/>
      <c r="B10" s="2"/>
      <c r="C10" s="2"/>
      <c r="D10" s="2" t="s">
        <v>1155</v>
      </c>
      <c r="E10" s="2"/>
      <c r="F10" s="2"/>
      <c r="G10" s="2"/>
      <c r="H10" s="2"/>
      <c r="I10" s="2"/>
      <c r="J10" s="2" t="s">
        <v>1156</v>
      </c>
    </row>
    <row r="11" ht="15" customHeight="1" spans="1:10">
      <c r="A11" s="2"/>
      <c r="B11" s="2"/>
      <c r="C11" s="2"/>
      <c r="D11" s="2"/>
      <c r="E11" s="2"/>
      <c r="F11" s="2"/>
      <c r="G11" s="2"/>
      <c r="H11" s="2"/>
      <c r="I11" s="2"/>
      <c r="J11" s="2" t="s">
        <v>1157</v>
      </c>
    </row>
    <row r="12" ht="15" customHeight="1" spans="1:10">
      <c r="A12" s="2"/>
      <c r="B12" s="2"/>
      <c r="C12" s="2"/>
      <c r="D12" s="2"/>
      <c r="E12" s="2"/>
      <c r="F12" s="2"/>
      <c r="G12" s="2"/>
      <c r="H12" s="2"/>
      <c r="I12" s="2"/>
      <c r="J12" s="2" t="s">
        <v>1158</v>
      </c>
    </row>
    <row r="13" ht="15" customHeight="1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5" customHeight="1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5" customHeight="1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5" customHeight="1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5" customHeight="1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5" customHeight="1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5" customHeight="1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5" customHeight="1" spans="1:10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6.8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00_封面</vt:lpstr>
      <vt:lpstr>01_玩家问卷</vt:lpstr>
      <vt:lpstr>02_自动推荐</vt:lpstr>
      <vt:lpstr>03_组合库</vt:lpstr>
      <vt:lpstr>04_Classes_2024</vt:lpstr>
      <vt:lpstr>05_Subclasses_2024</vt:lpstr>
      <vt:lpstr>06_Backgrounds_2024</vt:lpstr>
      <vt:lpstr>07_Species_2024</vt:lpstr>
      <vt:lpstr>08_OriginFeats_2024</vt:lpstr>
      <vt:lpstr>09_规则来源兼容</vt:lpstr>
      <vt:lpstr>10_Faerun_扩展</vt:lpstr>
      <vt:lpstr>11_问卷与DM访谈</vt:lpstr>
      <vt:lpstr>12_Sources</vt:lpstr>
      <vt:lpstr>Lists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Neal</cp:lastModifiedBy>
  <dcterms:created xsi:type="dcterms:W3CDTF">2026-05-12T21:26:00Z</dcterms:created>
  <dcterms:modified xsi:type="dcterms:W3CDTF">2026-05-12T21:52:47Z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70D7FF21B6B140819DBA8E615585CDA7_13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